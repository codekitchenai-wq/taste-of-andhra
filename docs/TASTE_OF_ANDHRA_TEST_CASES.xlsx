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Test Cases" state="visible" r:id="rId5"/>
    <sheet sheetId="3" name="Defect Log" state="visible" r:id="rId6"/>
    <sheet sheetId="4" name="Test Summary" state="visible" r:id="rId7"/>
  </sheets>
  <calcPr calcId="171027"/>
</workbook>
</file>

<file path=xl/sharedStrings.xml><?xml version="1.0" encoding="utf-8"?>
<sst xmlns="http://schemas.openxmlformats.org/spreadsheetml/2006/main" count="2726" uniqueCount="601">
  <si>
    <t>TASTE OF ANDHRA — TEST CASE WORKBOOK</t>
  </si>
  <si>
    <t/>
  </si>
  <si>
    <t>HOW TO USE THIS FILE</t>
  </si>
  <si>
    <t>1. Test Cases sheet</t>
  </si>
  <si>
    <t xml:space="preserve">   • Execute each test in the Steps column.</t>
  </si>
  <si>
    <t xml:space="preserve">   • Record what you actually observed in Actual Result.</t>
  </si>
  <si>
    <t xml:space="preserve">   • Set Status: Not Run | Pass | Fail | Blocked | N/A</t>
  </si>
  <si>
    <t xml:space="preserve">   • If Status = Fail or Blocked, log a defect in the Defect Log sheet and enter the Defect ID (e.g. DEF-001) in the Test Cases row.</t>
  </si>
  <si>
    <t xml:space="preserve">   • Fill Tester Name, Test Date, Build/Version, and Environment for traceability.</t>
  </si>
  <si>
    <t>2. Defect Log sheet</t>
  </si>
  <si>
    <t xml:space="preserve">   • Create one row per defect found during testing.</t>
  </si>
  <si>
    <t xml:space="preserve">   • Link Related Test ID(s) to the failing test case(s).</t>
  </si>
  <si>
    <t xml:space="preserve">   • Developers update Defect Status and Resolution Notes when fixed.</t>
  </si>
  <si>
    <t xml:space="preserve">   • Testers re-run the linked test case and set Status to Pass after verification.</t>
  </si>
  <si>
    <t>3. Test Summary sheet</t>
  </si>
  <si>
    <t xml:space="preserve">   • Auto-calculates pass/fail counts from Test Cases (update after filling Status column).</t>
  </si>
  <si>
    <t>4. Test Environment Checklist (complete before testing)</t>
  </si>
  <si>
    <t xml:space="preserve">   ☐ Supabase migrations applied</t>
  </si>
  <si>
    <t xml:space="preserve">   ☐ Phone OTP provider enabled (or test numbers configured)</t>
  </si>
  <si>
    <t xml:space="preserve">   ☐ .env.local has VITE_SUPABASE_URL and VITE_SUPABASE_ANON_KEY</t>
  </si>
  <si>
    <t xml:space="preserve">   ☐ seed_menu.sql run (optional sample data)</t>
  </si>
  <si>
    <t xml:space="preserve">   ☐ Admin user created and promoted</t>
  </si>
  <si>
    <t>PRIORITY LEGEND: P1 = Critical path | P2 = Important | P3 = Nice to verify</t>
  </si>
  <si>
    <t>REGENERATE THIS FILE: npm run docs:test-excel</t>
  </si>
  <si>
    <t>Test ID</t>
  </si>
  <si>
    <t>Module</t>
  </si>
  <si>
    <t>Priority</t>
  </si>
  <si>
    <t>Test Case</t>
  </si>
  <si>
    <t>Steps</t>
  </si>
  <si>
    <t>Expected Result</t>
  </si>
  <si>
    <t>Actual Result</t>
  </si>
  <si>
    <t>Status</t>
  </si>
  <si>
    <t>Defect ID</t>
  </si>
  <si>
    <t>Tester Name</t>
  </si>
  <si>
    <t>Test Date</t>
  </si>
  <si>
    <t>Build / Version</t>
  </si>
  <si>
    <t>Environment</t>
  </si>
  <si>
    <t>Comments / Notes</t>
  </si>
  <si>
    <t>PUB-01</t>
  </si>
  <si>
    <t>Public website</t>
  </si>
  <si>
    <t>P1</t>
  </si>
  <si>
    <t>Home page loads</t>
  </si>
  <si>
    <t>Open `/`</t>
  </si>
  <si>
    <t>Hero, featured categories, dishes, testimonials render; no console errors</t>
  </si>
  <si>
    <t>Not Run</t>
  </si>
  <si>
    <t>PUB-02</t>
  </si>
  <si>
    <t>P2</t>
  </si>
  <si>
    <t>Navigation links work</t>
  </si>
  <si>
    <t>Click each main nav item</t>
  </si>
  <si>
    <t>Home, Menu, About, Gallery, Party Orders, Contact load correctly</t>
  </si>
  <si>
    <t>PUB-03</t>
  </si>
  <si>
    <t>Menu listing</t>
  </si>
  <si>
    <t>Open `/menu`</t>
  </si>
  <si>
    <t>Dishes load from Supabase; images and prices visible</t>
  </si>
  <si>
    <t>PUB-04</t>
  </si>
  <si>
    <t>Menu search</t>
  </si>
  <si>
    <t>Search for a dish name (e.g. "biryani")</t>
  </si>
  <si>
    <t>Only matching dishes shown; clear search restores list</t>
  </si>
  <si>
    <t>PUB-05</t>
  </si>
  <si>
    <t>Category filter</t>
  </si>
  <si>
    <t>Select a category filter</t>
  </si>
  <si>
    <t>Dishes filtered to that category</t>
  </si>
  <si>
    <t>PUB-06</t>
  </si>
  <si>
    <t>Diet filter</t>
  </si>
  <si>
    <t>Filter Veg / Non-Veg</t>
  </si>
  <si>
    <t>Correct dishes shown</t>
  </si>
  <si>
    <t>PUB-07</t>
  </si>
  <si>
    <t>Spice filter</t>
  </si>
  <si>
    <t>Select a spice level</t>
  </si>
  <si>
    <t>Dishes filtered accordingly</t>
  </si>
  <si>
    <t>PUB-08</t>
  </si>
  <si>
    <t>Sort options</t>
  </si>
  <si>
    <t>Sort by price / rating</t>
  </si>
  <si>
    <t>Order changes as selected</t>
  </si>
  <si>
    <t>PUB-09</t>
  </si>
  <si>
    <t>Dish details</t>
  </si>
  <si>
    <t>Click a dish card</t>
  </si>
  <si>
    <t>`/menu/:slug` shows image, price, description, ingredients, reviews section</t>
  </si>
  <si>
    <t>PUB-10</t>
  </si>
  <si>
    <t>About page</t>
  </si>
  <si>
    <t>Open `/about`</t>
  </si>
  <si>
    <t>Story, stats, hours, visit info display</t>
  </si>
  <si>
    <t>PUB-11</t>
  </si>
  <si>
    <t>Gallery page</t>
  </si>
  <si>
    <t>Open `/gallery`</t>
  </si>
  <si>
    <t>Images load; category filters work</t>
  </si>
  <si>
    <t>PUB-12</t>
  </si>
  <si>
    <t>Contact page</t>
  </si>
  <si>
    <t>Open `/contact`</t>
  </si>
  <si>
    <t>Contact info visible; form validates required fields</t>
  </si>
  <si>
    <t>PUB-13</t>
  </si>
  <si>
    <t>P3</t>
  </si>
  <si>
    <t>Contact form submit</t>
  </si>
  <si>
    <t>Fill valid form and submit</t>
  </si>
  <si>
    <t>Email client opens or success message shown</t>
  </si>
  <si>
    <t>PUB-14</t>
  </si>
  <si>
    <t>Mobile responsive</t>
  </si>
  <si>
    <t>Resize to mobile width</t>
  </si>
  <si>
    <t>Navbar/mobile menu usable; pages readable</t>
  </si>
  <si>
    <t>PUB-15</t>
  </si>
  <si>
    <t>Footer links</t>
  </si>
  <si>
    <t>Click footer quick links</t>
  </si>
  <si>
    <t>Correct pages open</t>
  </si>
  <si>
    <t>AUTH-01</t>
  </si>
  <si>
    <t>Customer auth (OTP)</t>
  </si>
  <si>
    <t>Register — send OTP</t>
  </si>
  <si>
    <t>/register → enter name + valid 10-digit phone → Send OTP</t>
  </si>
  <si>
    <t>Success toast; OTP step shown; phone displayed</t>
  </si>
  <si>
    <t>AUTH-02</t>
  </si>
  <si>
    <t>Register — invalid phone</t>
  </si>
  <si>
    <t>Enter 9-digit or letters → Send OTP</t>
  </si>
  <si>
    <t>Validation error; OTP not sent</t>
  </si>
  <si>
    <t>AUTH-03</t>
  </si>
  <si>
    <t>Register — verify OTP</t>
  </si>
  <si>
    <t>Enter correct 6-digit OTP → Verify</t>
  </si>
  <si>
    <t>Account created; redirected; user logged in</t>
  </si>
  <si>
    <t>AUTH-04</t>
  </si>
  <si>
    <t>Register — wrong OTP</t>
  </si>
  <si>
    <t>Enter incorrect OTP</t>
  </si>
  <si>
    <t>Error message; stays on OTP step</t>
  </si>
  <si>
    <t>AUTH-05</t>
  </si>
  <si>
    <t>Register — resend OTP</t>
  </si>
  <si>
    <t>Wait for countdown → Resend OTP</t>
  </si>
  <si>
    <t>New OTP sent; countdown resets</t>
  </si>
  <si>
    <t>AUTH-06</t>
  </si>
  <si>
    <t>Register — change phone</t>
  </si>
  <si>
    <t>On OTP step → Change → edit phone</t>
  </si>
  <si>
    <t>Returns to phone step with new number</t>
  </si>
  <si>
    <t>AUTH-07</t>
  </si>
  <si>
    <t>Login — existing user</t>
  </si>
  <si>
    <t>/login → phone → OTP → verify</t>
  </si>
  <si>
    <t>Signed in; redirected to home or prior page</t>
  </si>
  <si>
    <t>AUTH-08</t>
  </si>
  <si>
    <t>Login — new number</t>
  </si>
  <si>
    <t>Use unregistered phone on login</t>
  </si>
  <si>
    <t>Supabase creates account or shows appropriate message</t>
  </si>
  <si>
    <t>AUTH-09</t>
  </si>
  <si>
    <t>Protected route guard</t>
  </si>
  <si>
    <t>Visit `/checkout` while logged out</t>
  </si>
  <si>
    <t>Redirected to login</t>
  </si>
  <si>
    <t>AUTH-10</t>
  </si>
  <si>
    <t>Logout</t>
  </si>
  <si>
    <t>Sign out from navbar/profile</t>
  </si>
  <si>
    <t>Session cleared; cart UI reflects guest state</t>
  </si>
  <si>
    <t>AUTH-11</t>
  </si>
  <si>
    <t>Deactivated account</t>
  </si>
  <si>
    <t>Admin deactivates customer → customer logs in</t>
  </si>
  <si>
    <t>Login fails with deactivation message</t>
  </si>
  <si>
    <t>AUTH-12</t>
  </si>
  <si>
    <t>Guest route guard</t>
  </si>
  <si>
    <t>Visit `/login` while logged in</t>
  </si>
  <si>
    <t>Redirected away from auth pages</t>
  </si>
  <si>
    <t>CART-01</t>
  </si>
  <si>
    <t>Cart</t>
  </si>
  <si>
    <t>Add to cart (guest)</t>
  </si>
  <si>
    <t>Logged out → Add to cart on menu</t>
  </si>
  <si>
    <t>Prompt to sign in; redirect to login</t>
  </si>
  <si>
    <t>CART-02</t>
  </si>
  <si>
    <t>Add to cart (logged in)</t>
  </si>
  <si>
    <t>Add dish from menu or detail page</t>
  </si>
  <si>
    <t>Success toast; cart badge count increases</t>
  </si>
  <si>
    <t>CART-03</t>
  </si>
  <si>
    <t>View cart</t>
  </si>
  <si>
    <t>Open `/cart`</t>
  </si>
  <si>
    <t>Items, quantities, subtotal correct</t>
  </si>
  <si>
    <t>CART-04</t>
  </si>
  <si>
    <t>Update quantity</t>
  </si>
  <si>
    <t>Increase/decrease quantity</t>
  </si>
  <si>
    <t>Subtotal updates; min quantity 1</t>
  </si>
  <si>
    <t>CART-05</t>
  </si>
  <si>
    <t>Remove item</t>
  </si>
  <si>
    <t>Remove an item</t>
  </si>
  <si>
    <t>Item removed; cart empty state if last item</t>
  </si>
  <si>
    <t>CART-06</t>
  </si>
  <si>
    <t>Clear cart</t>
  </si>
  <si>
    <t>Clear all items</t>
  </si>
  <si>
    <t>Cart empty</t>
  </si>
  <si>
    <t>CART-07</t>
  </si>
  <si>
    <t>Persist cart</t>
  </si>
  <si>
    <t>Add items → refresh page</t>
  </si>
  <si>
    <t>Cart restored for same user</t>
  </si>
  <si>
    <t>CART-08</t>
  </si>
  <si>
    <t>Unavailable dish</t>
  </si>
  <si>
    <t>Admin marks dish unavailable → user has it in cart</t>
  </si>
  <si>
    <t>Checkout blocked with clear error</t>
  </si>
  <si>
    <t>CHK-01</t>
  </si>
  <si>
    <t>Checkout &amp; payments</t>
  </si>
  <si>
    <t>Empty cart redirect</t>
  </si>
  <si>
    <t>Go to `/checkout` with empty cart</t>
  </si>
  <si>
    <t>Redirected to `/cart`</t>
  </si>
  <si>
    <t>CHK-02</t>
  </si>
  <si>
    <t>Select address</t>
  </si>
  <si>
    <t>Choose saved address</t>
  </si>
  <si>
    <t>Address highlighted; required for place order</t>
  </si>
  <si>
    <t>CHK-03</t>
  </si>
  <si>
    <t>Add address at checkout</t>
  </si>
  <si>
    <t>Add new address via modal</t>
  </si>
  <si>
    <t>Address saved and selected</t>
  </si>
  <si>
    <t>CHK-04</t>
  </si>
  <si>
    <t>No address block</t>
  </si>
  <si>
    <t>No addresses → Place order</t>
  </si>
  <si>
    <t>Button disabled or error shown</t>
  </si>
  <si>
    <t>CHK-05</t>
  </si>
  <si>
    <t>COD order</t>
  </si>
  <si>
    <t>Select COD → Place order</t>
  </si>
  <si>
    <t>Order created; cart cleared; `/order-success` shown</t>
  </si>
  <si>
    <t>CHK-06</t>
  </si>
  <si>
    <t>Order totals</t>
  </si>
  <si>
    <t>Subtotal ₹300</t>
  </si>
  <si>
    <t>Tax 5% (₹15), delivery ₹49, total ₹364</t>
  </si>
  <si>
    <t>CHK-07</t>
  </si>
  <si>
    <t>Free delivery</t>
  </si>
  <si>
    <t>Subtotal ≥ ₹399</t>
  </si>
  <si>
    <t>Delivery charge ₹0</t>
  </si>
  <si>
    <t>CHK-08</t>
  </si>
  <si>
    <t>Valid coupon</t>
  </si>
  <si>
    <t>Apply active coupon code</t>
  </si>
  <si>
    <t>Discount shown; total reduced</t>
  </si>
  <si>
    <t>CHK-09</t>
  </si>
  <si>
    <t>Invalid coupon</t>
  </si>
  <si>
    <t>Apply wrong/expired code</t>
  </si>
  <si>
    <t>Error toast; no discount applied</t>
  </si>
  <si>
    <t>CHK-10</t>
  </si>
  <si>
    <t>Minimum order coupon</t>
  </si>
  <si>
    <t>Coupon min order ₹500, cart ₹300</t>
  </si>
  <si>
    <t>Error: minimum not met</t>
  </si>
  <si>
    <t>CHK-11</t>
  </si>
  <si>
    <t>Online pay (demo)</t>
  </si>
  <si>
    <t>No Razorpay key → Pay Online → complete demo</t>
  </si>
  <si>
    <t>Order marked paid; success page</t>
  </si>
  <si>
    <t>CHK-12</t>
  </si>
  <si>
    <t>Online pay (live)</t>
  </si>
  <si>
    <t>With VITE_RAZORPAY_KEY_ID → complete Razorpay</t>
  </si>
  <si>
    <t>Payment success; order confirmed</t>
  </si>
  <si>
    <t>CHK-13</t>
  </si>
  <si>
    <t>Payment cancelled</t>
  </si>
  <si>
    <t>Close Razorpay modal</t>
  </si>
  <si>
    <t>Order saved pending; redirect to order details message</t>
  </si>
  <si>
    <t>CHK-14</t>
  </si>
  <si>
    <t>Special instructions</t>
  </si>
  <si>
    <t>Add note at checkout</t>
  </si>
  <si>
    <t>Saved on order; visible in order details</t>
  </si>
  <si>
    <t>CHK-15</t>
  </si>
  <si>
    <t>Remove coupon</t>
  </si>
  <si>
    <t>Apply coupon → Remove</t>
  </si>
  <si>
    <t>Discount cleared; total recalculated</t>
  </si>
  <si>
    <t>ORD-01</t>
  </si>
  <si>
    <t>Orders &amp; tracking</t>
  </si>
  <si>
    <t>Order history</t>
  </si>
  <si>
    <t>Open `/orders`</t>
  </si>
  <si>
    <t>Past orders listed with number, status, total</t>
  </si>
  <si>
    <t>ORD-02</t>
  </si>
  <si>
    <t>Order details</t>
  </si>
  <si>
    <t>Click an order</t>
  </si>
  <si>
    <t>Items, address, payment method, totals shown</t>
  </si>
  <si>
    <t>ORD-03</t>
  </si>
  <si>
    <t>Status tracker</t>
  </si>
  <si>
    <t>View order with status "preparing"</t>
  </si>
  <si>
    <t>Stepper shows correct progress</t>
  </si>
  <si>
    <t>ORD-04</t>
  </si>
  <si>
    <t>Cancel order</t>
  </si>
  <si>
    <t>Cancel while pending/confirmed</t>
  </si>
  <si>
    <t>Status → cancelled; message shown</t>
  </si>
  <si>
    <t>ORD-05</t>
  </si>
  <si>
    <t>Cancel blocked</t>
  </si>
  <si>
    <t>Try cancel after preparing started</t>
  </si>
  <si>
    <t>Error: cannot cancel</t>
  </si>
  <si>
    <t>ORD-06</t>
  </si>
  <si>
    <t>Empty orders</t>
  </si>
  <si>
    <t>New user with no orders</t>
  </si>
  <si>
    <t>Empty state with link to menu</t>
  </si>
  <si>
    <t>ADDR-01</t>
  </si>
  <si>
    <t>Saved addresses</t>
  </si>
  <si>
    <t>List addresses</t>
  </si>
  <si>
    <t>Open `/addresses`</t>
  </si>
  <si>
    <t>Saved addresses shown</t>
  </si>
  <si>
    <t>ADDR-02</t>
  </si>
  <si>
    <t>Add address</t>
  </si>
  <si>
    <t>Add valid address</t>
  </si>
  <si>
    <t>Appears in list</t>
  </si>
  <si>
    <t>ADDR-03</t>
  </si>
  <si>
    <t>Edit address</t>
  </si>
  <si>
    <t>Edit existing</t>
  </si>
  <si>
    <t>Changes saved</t>
  </si>
  <si>
    <t>ADDR-04</t>
  </si>
  <si>
    <t>Delete address</t>
  </si>
  <si>
    <t>Delete an address</t>
  </si>
  <si>
    <t>Removed after confirm</t>
  </si>
  <si>
    <t>ADDR-05</t>
  </si>
  <si>
    <t>Set default</t>
  </si>
  <si>
    <t>Mark address as default</t>
  </si>
  <si>
    <t>Default badge shown; used at checkout</t>
  </si>
  <si>
    <t>ADDR-06</t>
  </si>
  <si>
    <t>Validation</t>
  </si>
  <si>
    <t>Submit with invalid pincode (5 digits)</t>
  </si>
  <si>
    <t>Validation error</t>
  </si>
  <si>
    <t>PROF-01</t>
  </si>
  <si>
    <t>Profile</t>
  </si>
  <si>
    <t>View profile</t>
  </si>
  <si>
    <t>Open `/profile`</t>
  </si>
  <si>
    <t>Name and phone shown</t>
  </si>
  <si>
    <t>PROF-02</t>
  </si>
  <si>
    <t>Update name</t>
  </si>
  <si>
    <t>Change full name → Save</t>
  </si>
  <si>
    <t>Success toast; navbar/profile updated</t>
  </si>
  <si>
    <t>PROF-03</t>
  </si>
  <si>
    <t>Update phone</t>
  </si>
  <si>
    <t>Change valid phone → Save</t>
  </si>
  <si>
    <t>Saved successfully</t>
  </si>
  <si>
    <t>PROF-04</t>
  </si>
  <si>
    <t>Invalid phone</t>
  </si>
  <si>
    <t>Enter 9-digit phone</t>
  </si>
  <si>
    <t>REV-01</t>
  </si>
  <si>
    <t>Reviews</t>
  </si>
  <si>
    <t>Submit review (logged in)</t>
  </si>
  <si>
    <t>Dish detail → rate 1–5 → Submit</t>
  </si>
  <si>
    <t>Review appears in list</t>
  </si>
  <si>
    <t>REV-02</t>
  </si>
  <si>
    <t>Review without login</t>
  </si>
  <si>
    <t>Logged out → try submit</t>
  </si>
  <si>
    <t>Redirect to login</t>
  </si>
  <si>
    <t>REV-03</t>
  </si>
  <si>
    <t>Update review</t>
  </si>
  <si>
    <t>Submit second review same dish</t>
  </si>
  <si>
    <t>Existing review updated</t>
  </si>
  <si>
    <t>REV-04</t>
  </si>
  <si>
    <t>Dish rating</t>
  </si>
  <si>
    <t>After review</t>
  </si>
  <si>
    <t>Dish rating reflects average</t>
  </si>
  <si>
    <t>PARTY-01</t>
  </si>
  <si>
    <t>Party order enquiry</t>
  </si>
  <si>
    <t>Submit enquiry (guest)</t>
  </si>
  <si>
    <t>Fill `/party-order` form → Submit</t>
  </si>
  <si>
    <t>Success message; form reset option</t>
  </si>
  <si>
    <t>PARTY-02</t>
  </si>
  <si>
    <t>Submit with missing landmark</t>
  </si>
  <si>
    <t>Field error shown</t>
  </si>
  <si>
    <t>PARTY-03</t>
  </si>
  <si>
    <t>Guest count limits</t>
  </si>
  <si>
    <t>Enter 0 or &gt;2000 guests</t>
  </si>
  <si>
    <t>PARTY-04</t>
  </si>
  <si>
    <t>Meal preference</t>
  </si>
  <si>
    <t>Select veg / non-veg / mix</t>
  </si>
  <si>
    <t>Selection stored and submitted</t>
  </si>
  <si>
    <t>ADM-01</t>
  </si>
  <si>
    <t>Admin auth &amp; access</t>
  </si>
  <si>
    <t>Admin login</t>
  </si>
  <si>
    <t>/admin/login with admin credentials</t>
  </si>
  <si>
    <t>Dashboard access</t>
  </si>
  <si>
    <t>ADM-02</t>
  </si>
  <si>
    <t>Customer denied</t>
  </si>
  <si>
    <t>Customer account on admin login</t>
  </si>
  <si>
    <t>Access denied; logged out</t>
  </si>
  <si>
    <t>ADM-03</t>
  </si>
  <si>
    <t>Route guard</t>
  </si>
  <si>
    <t>Visit `/admin` without login</t>
  </si>
  <si>
    <t>Redirect to admin login</t>
  </si>
  <si>
    <t>ADM-04</t>
  </si>
  <si>
    <t>Non-admin URL</t>
  </si>
  <si>
    <t>Customer visits `/admin/categories`</t>
  </si>
  <si>
    <t>Blocked</t>
  </si>
  <si>
    <t>ADM-10</t>
  </si>
  <si>
    <t>Admin menu management</t>
  </si>
  <si>
    <t>List categories</t>
  </si>
  <si>
    <t>/admin/categories</t>
  </si>
  <si>
    <t>Categories table loads</t>
  </si>
  <si>
    <t>ADM-11</t>
  </si>
  <si>
    <t>Create category</t>
  </si>
  <si>
    <t>Add category with name</t>
  </si>
  <si>
    <t>Appears in list and public menu</t>
  </si>
  <si>
    <t>ADM-12</t>
  </si>
  <si>
    <t>Edit category</t>
  </si>
  <si>
    <t>Update name/description</t>
  </si>
  <si>
    <t>Changes reflected on menu</t>
  </si>
  <si>
    <t>ADM-13</t>
  </si>
  <si>
    <t>Category image upload</t>
  </si>
  <si>
    <t>Upload image</t>
  </si>
  <si>
    <t>Image visible on category</t>
  </si>
  <si>
    <t>ADM-14</t>
  </si>
  <si>
    <t>Create dish</t>
  </si>
  <si>
    <t>Add dish with price, category</t>
  </si>
  <si>
    <t>Appears in admin and menu</t>
  </si>
  <si>
    <t>ADM-15</t>
  </si>
  <si>
    <t>Edit dish</t>
  </si>
  <si>
    <t>Change price/availability</t>
  </si>
  <si>
    <t>Updates on customer menu</t>
  </si>
  <si>
    <t>ADM-16</t>
  </si>
  <si>
    <t>Soft delete dish</t>
  </si>
  <si>
    <t>Delete dish</t>
  </si>
  <si>
    <t>Removed from menu (is_available=false)</t>
  </si>
  <si>
    <t>ADM-17</t>
  </si>
  <si>
    <t>Search dishes</t>
  </si>
  <si>
    <t>Search in admin dishes</t>
  </si>
  <si>
    <t>Filter works</t>
  </si>
  <si>
    <t>ADM-20</t>
  </si>
  <si>
    <t>Admin orders &amp; delivery</t>
  </si>
  <si>
    <t>List orders</t>
  </si>
  <si>
    <t>/admin/orders</t>
  </si>
  <si>
    <t>Orders with customer info</t>
  </si>
  <si>
    <t>ADM-21</t>
  </si>
  <si>
    <t>Update order status</t>
  </si>
  <si>
    <t>Change pending → confirmed → preparing</t>
  </si>
  <si>
    <t>Status saved; customer tracker updates</t>
  </si>
  <si>
    <t>ADM-22</t>
  </si>
  <si>
    <t>Filter by status</t>
  </si>
  <si>
    <t>Filter orders</t>
  </si>
  <si>
    <t>Correct subset shown</t>
  </si>
  <si>
    <t>ADM-23</t>
  </si>
  <si>
    <t>View order detail</t>
  </si>
  <si>
    <t>Open order modal</t>
  </si>
  <si>
    <t>Full line items and address</t>
  </si>
  <si>
    <t>ADM-24</t>
  </si>
  <si>
    <t>Assign delivery</t>
  </si>
  <si>
    <t>/admin/delivery → Assign partner</t>
  </si>
  <si>
    <t>Delivery record created; status out_for_delivery</t>
  </si>
  <si>
    <t>ADM-25</t>
  </si>
  <si>
    <t>Mark delivered</t>
  </si>
  <si>
    <t>Update delivery to delivered</t>
  </si>
  <si>
    <t>Order status synced to delivered</t>
  </si>
  <si>
    <t>ADM-26</t>
  </si>
  <si>
    <t>Awaiting queue</t>
  </si>
  <si>
    <t>Order ready but unassigned</t>
  </si>
  <si>
    <t>Appears in Awaiting Assignment</t>
  </si>
  <si>
    <t>ADM-30</t>
  </si>
  <si>
    <t>Admin customers &amp; reports</t>
  </si>
  <si>
    <t>List customers</t>
  </si>
  <si>
    <t>/admin/customers</t>
  </si>
  <si>
    <t>Customer list with status</t>
  </si>
  <si>
    <t>ADM-31</t>
  </si>
  <si>
    <t>Deactivate customer</t>
  </si>
  <si>
    <t>Deactivate account</t>
  </si>
  <si>
    <t>Status inactive; customer cannot login</t>
  </si>
  <si>
    <t>ADM-32</t>
  </si>
  <si>
    <t>Reactivate customer</t>
  </si>
  <si>
    <t>Activate account</t>
  </si>
  <si>
    <t>Customer can login again</t>
  </si>
  <si>
    <t>ADM-33</t>
  </si>
  <si>
    <t>Create offer</t>
  </si>
  <si>
    <t>Add offer with coupon code &amp; dates</t>
  </si>
  <si>
    <t>Offer listed</t>
  </si>
  <si>
    <t>ADM-34</t>
  </si>
  <si>
    <t>Coupon at checkout</t>
  </si>
  <si>
    <t>Use coupon from ADM-33</t>
  </si>
  <si>
    <t>Discount applied (see CHK-08)</t>
  </si>
  <si>
    <t>ADM-35</t>
  </si>
  <si>
    <t>Party inquiries</t>
  </si>
  <si>
    <t>/admin/party-inquiries</t>
  </si>
  <si>
    <t>Submitted enquiries visible</t>
  </si>
  <si>
    <t>ADM-36</t>
  </si>
  <si>
    <t>Update inquiry status</t>
  </si>
  <si>
    <t>Change new → contacted</t>
  </si>
  <si>
    <t>Status saved</t>
  </si>
  <si>
    <t>ADM-37</t>
  </si>
  <si>
    <t>Reports dashboard</t>
  </si>
  <si>
    <t>/admin/reports</t>
  </si>
  <si>
    <t>Revenue and sales charts load</t>
  </si>
  <si>
    <t>ADM-38</t>
  </si>
  <si>
    <t>Settings page</t>
  </si>
  <si>
    <t>/admin/settings</t>
  </si>
  <si>
    <t>Restaurant info and integration status shown</t>
  </si>
  <si>
    <t>SEC-01</t>
  </si>
  <si>
    <t>Security (RLS)</t>
  </si>
  <si>
    <t>Own orders only</t>
  </si>
  <si>
    <t>Customer A opens Customer B order URL</t>
  </si>
  <si>
    <t>Not found or access denied</t>
  </si>
  <si>
    <t>SEC-02</t>
  </si>
  <si>
    <t>Own addresses only</t>
  </si>
  <si>
    <t>Customer cannot edit another user's address</t>
  </si>
  <si>
    <t>Update fails</t>
  </si>
  <si>
    <t>SEC-03</t>
  </si>
  <si>
    <t>Admin read all</t>
  </si>
  <si>
    <t>Admin views any order</t>
  </si>
  <si>
    <t>Access granted</t>
  </si>
  <si>
    <t>SEC-04</t>
  </si>
  <si>
    <t>Guest no admin API</t>
  </si>
  <si>
    <t>Unauthenticated admin-only data request</t>
  </si>
  <si>
    <t>Blocked by RLS</t>
  </si>
  <si>
    <t>SMOKE-01</t>
  </si>
  <si>
    <t>Regression smoke test</t>
  </si>
  <si>
    <t>Register via OTP</t>
  </si>
  <si>
    <t>AUTH-03 flow</t>
  </si>
  <si>
    <t>New customer registered</t>
  </si>
  <si>
    <t>SMOKE-02</t>
  </si>
  <si>
    <t>Add to cart</t>
  </si>
  <si>
    <t>Item in cart</t>
  </si>
  <si>
    <t>SMOKE-03</t>
  </si>
  <si>
    <t>Place COD order</t>
  </si>
  <si>
    <t>Order success</t>
  </si>
  <si>
    <t>SMOKE-04</t>
  </si>
  <si>
    <t>View order details</t>
  </si>
  <si>
    <t>Order details visible</t>
  </si>
  <si>
    <t>SMOKE-05</t>
  </si>
  <si>
    <t>Dish review</t>
  </si>
  <si>
    <t>PUB-09 + REV-01</t>
  </si>
  <si>
    <t>Review submitted</t>
  </si>
  <si>
    <t>SMOKE-06</t>
  </si>
  <si>
    <t>Party enquiry</t>
  </si>
  <si>
    <t>Enquiry submitted</t>
  </si>
  <si>
    <t>SMOKE-07</t>
  </si>
  <si>
    <t>SMOKE-08</t>
  </si>
  <si>
    <t>Status updated</t>
  </si>
  <si>
    <t>SMOKE-09</t>
  </si>
  <si>
    <t>Delivery assigned</t>
  </si>
  <si>
    <t>SMOKE-10</t>
  </si>
  <si>
    <t>Public menu loads</t>
  </si>
  <si>
    <t>Menu displays correctly</t>
  </si>
  <si>
    <t>Related Test ID(s)</t>
  </si>
  <si>
    <t>Summary / Title</t>
  </si>
  <si>
    <t>Description</t>
  </si>
  <si>
    <t>Steps to Reproduce</t>
  </si>
  <si>
    <t>Expected Behavior</t>
  </si>
  <si>
    <t>Actual Behavior</t>
  </si>
  <si>
    <t>Severity</t>
  </si>
  <si>
    <t>Defect Status</t>
  </si>
  <si>
    <t>Reported By</t>
  </si>
  <si>
    <t>Reported Date</t>
  </si>
  <si>
    <t>Assigned To</t>
  </si>
  <si>
    <t>Fixed In Version</t>
  </si>
  <si>
    <t>Fixed Date</t>
  </si>
  <si>
    <t>Verified By</t>
  </si>
  <si>
    <t>Verification Date</t>
  </si>
  <si>
    <t>Retest Test ID</t>
  </si>
  <si>
    <t>Resolution Notes</t>
  </si>
  <si>
    <t>Screenshot / Evidence Link</t>
  </si>
  <si>
    <t>DEF-001</t>
  </si>
  <si>
    <t>Open</t>
  </si>
  <si>
    <t>DEF-002</t>
  </si>
  <si>
    <t>DEF-003</t>
  </si>
  <si>
    <t>DEF-004</t>
  </si>
  <si>
    <t>DEF-005</t>
  </si>
  <si>
    <t>DEF-006</t>
  </si>
  <si>
    <t>DEF-007</t>
  </si>
  <si>
    <t>DEF-008</t>
  </si>
  <si>
    <t>DEF-009</t>
  </si>
  <si>
    <t>DEF-010</t>
  </si>
  <si>
    <t>DEF-011</t>
  </si>
  <si>
    <t>DEF-012</t>
  </si>
  <si>
    <t>DEF-013</t>
  </si>
  <si>
    <t>DEF-014</t>
  </si>
  <si>
    <t>DEF-015</t>
  </si>
  <si>
    <t>DEF-016</t>
  </si>
  <si>
    <t>DEF-017</t>
  </si>
  <si>
    <t>DEF-018</t>
  </si>
  <si>
    <t>DEF-019</t>
  </si>
  <si>
    <t>DEF-020</t>
  </si>
  <si>
    <t>DEF-021</t>
  </si>
  <si>
    <t>DEF-022</t>
  </si>
  <si>
    <t>DEF-023</t>
  </si>
  <si>
    <t>DEF-024</t>
  </si>
  <si>
    <t>DEF-025</t>
  </si>
  <si>
    <t>DEF-026</t>
  </si>
  <si>
    <t>DEF-027</t>
  </si>
  <si>
    <t>DEF-028</t>
  </si>
  <si>
    <t>DEF-029</t>
  </si>
  <si>
    <t>DEF-030</t>
  </si>
  <si>
    <t>DEF-031</t>
  </si>
  <si>
    <t>DEF-032</t>
  </si>
  <si>
    <t>DEF-033</t>
  </si>
  <si>
    <t>DEF-034</t>
  </si>
  <si>
    <t>DEF-035</t>
  </si>
  <si>
    <t>DEF-036</t>
  </si>
  <si>
    <t>DEF-037</t>
  </si>
  <si>
    <t>DEF-038</t>
  </si>
  <si>
    <t>DEF-039</t>
  </si>
  <si>
    <t>DEF-040</t>
  </si>
  <si>
    <t>DEF-041</t>
  </si>
  <si>
    <t>DEF-042</t>
  </si>
  <si>
    <t>DEF-043</t>
  </si>
  <si>
    <t>DEF-044</t>
  </si>
  <si>
    <t>DEF-045</t>
  </si>
  <si>
    <t>DEF-046</t>
  </si>
  <si>
    <t>DEF-047</t>
  </si>
  <si>
    <t>DEF-048</t>
  </si>
  <si>
    <t>DEF-049</t>
  </si>
  <si>
    <t>DEF-050</t>
  </si>
  <si>
    <t>TASTE OF ANDHRA — TEST EXECUTION SUMMARY</t>
  </si>
  <si>
    <t>Project</t>
  </si>
  <si>
    <t>Taste of Andhra</t>
  </si>
  <si>
    <t>Test workbook version</t>
  </si>
  <si>
    <t>1.0</t>
  </si>
  <si>
    <t>Total test cases</t>
  </si>
  <si>
    <t>Test cycle name</t>
  </si>
  <si>
    <t>Test lead</t>
  </si>
  <si>
    <t>Start date</t>
  </si>
  <si>
    <t>End date</t>
  </si>
  <si>
    <t>Build / version under test</t>
  </si>
  <si>
    <t>RESULT COUNTS (auto-calculated from Test Cases sheet)</t>
  </si>
  <si>
    <t>Pass</t>
  </si>
  <si>
    <t>Fail</t>
  </si>
  <si>
    <t>N/A</t>
  </si>
  <si>
    <t>Total executed (Pass+Fail+Blocked+N/A)</t>
  </si>
  <si>
    <t>Pass rate %</t>
  </si>
  <si>
    <t>DEFECT COUNTS (from Defect Log)</t>
  </si>
  <si>
    <t>Open defects</t>
  </si>
  <si>
    <t>In Progress</t>
  </si>
  <si>
    <t>Fixed (awaiting retest)</t>
  </si>
  <si>
    <t>Verified / Closed</t>
  </si>
  <si>
    <t>Sign-off</t>
  </si>
  <si>
    <t>QA sign-off (name / date)</t>
  </si>
  <si>
    <t>Dev sign-off (name / date)</t>
  </si>
  <si>
    <t>Release approved (Yes /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</si>
</sst>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C62828"/>
      <sz val="16"/>
    </font>
    <font>
      <b/>
      <sz val="12"/>
    </font>
    <font>
      <b/>
      <color rgb="FFFFFFFF"/>
      <sz val="11"/>
    </font>
    <font>
      <b/>
    </font>
    <font>
      <b/>
      <color rgb="FFC62828"/>
      <sz val="14"/>
    </font>
  </fonts>
  <fills count="9">
    <fill>
      <patternFill patternType="none"/>
    </fill>
    <fill>
      <patternFill patternType="gray125"/>
    </fill>
    <fill>
      <patternFill patternType="solid">
        <fgColor rgb="FFC62828"/>
      </patternFill>
    </fill>
    <fill>
      <patternFill patternType="solid">
        <fgColor rgb="FFFFF9C4"/>
      </patternFill>
    </fill>
    <fill>
      <patternFill patternType="solid">
        <fgColor rgb="FFFFFDE7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EB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3" fillId="5" borderId="1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top" wrapText="1"/>
    </xf>
    <xf numFmtId="0" fontId="5" fillId="0" borderId="0" xfId="0" applyFont="1"/>
    <xf numFmtId="0" fontId="4" fillId="0" borderId="0" xfId="0" applyFont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 showGridLines="0"/>
  </sheetViews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s="2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1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1</v>
      </c>
    </row>
    <row r="28" spans="1:1" x14ac:dyDescent="0.25">
      <c r="A28" s="2" t="s">
        <v>22</v>
      </c>
    </row>
    <row r="29" spans="1:1" x14ac:dyDescent="0.25">
      <c r="A29" t="s">
        <v>1</v>
      </c>
    </row>
    <row r="30" spans="1:1" x14ac:dyDescent="0.25">
      <c r="A30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28" customWidth="1"/>
    <col min="5" max="7" width="36" customWidth="1"/>
    <col min="8" max="9" width="12" customWidth="1"/>
    <col min="10" max="10" width="16" customWidth="1"/>
    <col min="11" max="13" width="14" customWidth="1"/>
    <col min="14" max="14" width="30" customWidth="1"/>
  </cols>
  <sheetData>
    <row r="1" ht="28" customHeight="1" spans="1:14" x14ac:dyDescent="0.25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ht="48" customHeight="1" spans="1:14" x14ac:dyDescent="0.25">
      <c r="A2" s="4" t="s">
        <v>38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43</v>
      </c>
      <c r="G2" s="5" t="s">
        <v>1</v>
      </c>
      <c r="H2" s="5" t="s">
        <v>44</v>
      </c>
      <c r="I2" s="5" t="s">
        <v>1</v>
      </c>
      <c r="J2" s="5" t="s">
        <v>1</v>
      </c>
      <c r="K2" s="5" t="s">
        <v>1</v>
      </c>
      <c r="L2" s="5" t="s">
        <v>1</v>
      </c>
      <c r="M2" s="5" t="s">
        <v>1</v>
      </c>
      <c r="N2" s="5" t="s">
        <v>1</v>
      </c>
    </row>
    <row r="3" ht="48" customHeight="1" spans="1:14" x14ac:dyDescent="0.25">
      <c r="A3" s="4" t="s">
        <v>45</v>
      </c>
      <c r="B3" s="4" t="s">
        <v>39</v>
      </c>
      <c r="C3" s="4" t="s">
        <v>46</v>
      </c>
      <c r="D3" s="4" t="s">
        <v>47</v>
      </c>
      <c r="E3" s="4" t="s">
        <v>48</v>
      </c>
      <c r="F3" s="4" t="s">
        <v>49</v>
      </c>
      <c r="G3" s="6" t="s">
        <v>1</v>
      </c>
      <c r="H3" s="6" t="s">
        <v>44</v>
      </c>
      <c r="I3" s="6" t="s">
        <v>1</v>
      </c>
      <c r="J3" s="6" t="s">
        <v>1</v>
      </c>
      <c r="K3" s="6" t="s">
        <v>1</v>
      </c>
      <c r="L3" s="6" t="s">
        <v>1</v>
      </c>
      <c r="M3" s="6" t="s">
        <v>1</v>
      </c>
      <c r="N3" s="6" t="s">
        <v>1</v>
      </c>
    </row>
    <row r="4" ht="48" customHeight="1" spans="1:14" x14ac:dyDescent="0.25">
      <c r="A4" s="4" t="s">
        <v>50</v>
      </c>
      <c r="B4" s="4" t="s">
        <v>39</v>
      </c>
      <c r="C4" s="4" t="s">
        <v>40</v>
      </c>
      <c r="D4" s="4" t="s">
        <v>51</v>
      </c>
      <c r="E4" s="4" t="s">
        <v>52</v>
      </c>
      <c r="F4" s="4" t="s">
        <v>53</v>
      </c>
      <c r="G4" s="5" t="s">
        <v>1</v>
      </c>
      <c r="H4" s="5" t="s">
        <v>44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</row>
    <row r="5" ht="48" customHeight="1" spans="1:14" x14ac:dyDescent="0.25">
      <c r="A5" s="4" t="s">
        <v>54</v>
      </c>
      <c r="B5" s="4" t="s">
        <v>39</v>
      </c>
      <c r="C5" s="4" t="s">
        <v>40</v>
      </c>
      <c r="D5" s="4" t="s">
        <v>55</v>
      </c>
      <c r="E5" s="4" t="s">
        <v>56</v>
      </c>
      <c r="F5" s="4" t="s">
        <v>57</v>
      </c>
      <c r="G5" s="6" t="s">
        <v>1</v>
      </c>
      <c r="H5" s="6" t="s">
        <v>44</v>
      </c>
      <c r="I5" s="6" t="s">
        <v>1</v>
      </c>
      <c r="J5" s="6" t="s">
        <v>1</v>
      </c>
      <c r="K5" s="6" t="s">
        <v>1</v>
      </c>
      <c r="L5" s="6" t="s">
        <v>1</v>
      </c>
      <c r="M5" s="6" t="s">
        <v>1</v>
      </c>
      <c r="N5" s="6" t="s">
        <v>1</v>
      </c>
    </row>
    <row r="6" ht="48" customHeight="1" spans="1:14" x14ac:dyDescent="0.25">
      <c r="A6" s="4" t="s">
        <v>58</v>
      </c>
      <c r="B6" s="4" t="s">
        <v>39</v>
      </c>
      <c r="C6" s="4" t="s">
        <v>46</v>
      </c>
      <c r="D6" s="4" t="s">
        <v>59</v>
      </c>
      <c r="E6" s="4" t="s">
        <v>60</v>
      </c>
      <c r="F6" s="4" t="s">
        <v>61</v>
      </c>
      <c r="G6" s="5" t="s">
        <v>1</v>
      </c>
      <c r="H6" s="5" t="s">
        <v>44</v>
      </c>
      <c r="I6" s="5" t="s">
        <v>1</v>
      </c>
      <c r="J6" s="5" t="s">
        <v>1</v>
      </c>
      <c r="K6" s="5" t="s">
        <v>1</v>
      </c>
      <c r="L6" s="5" t="s">
        <v>1</v>
      </c>
      <c r="M6" s="5" t="s">
        <v>1</v>
      </c>
      <c r="N6" s="5" t="s">
        <v>1</v>
      </c>
    </row>
    <row r="7" ht="48" customHeight="1" spans="1:14" x14ac:dyDescent="0.25">
      <c r="A7" s="4" t="s">
        <v>62</v>
      </c>
      <c r="B7" s="4" t="s">
        <v>39</v>
      </c>
      <c r="C7" s="4" t="s">
        <v>46</v>
      </c>
      <c r="D7" s="4" t="s">
        <v>63</v>
      </c>
      <c r="E7" s="4" t="s">
        <v>64</v>
      </c>
      <c r="F7" s="4" t="s">
        <v>65</v>
      </c>
      <c r="G7" s="6" t="s">
        <v>1</v>
      </c>
      <c r="H7" s="6" t="s">
        <v>44</v>
      </c>
      <c r="I7" s="6" t="s">
        <v>1</v>
      </c>
      <c r="J7" s="6" t="s">
        <v>1</v>
      </c>
      <c r="K7" s="6" t="s">
        <v>1</v>
      </c>
      <c r="L7" s="6" t="s">
        <v>1</v>
      </c>
      <c r="M7" s="6" t="s">
        <v>1</v>
      </c>
      <c r="N7" s="6" t="s">
        <v>1</v>
      </c>
    </row>
    <row r="8" ht="48" customHeight="1" spans="1:14" x14ac:dyDescent="0.25">
      <c r="A8" s="4" t="s">
        <v>66</v>
      </c>
      <c r="B8" s="4" t="s">
        <v>39</v>
      </c>
      <c r="C8" s="4" t="s">
        <v>46</v>
      </c>
      <c r="D8" s="4" t="s">
        <v>67</v>
      </c>
      <c r="E8" s="4" t="s">
        <v>68</v>
      </c>
      <c r="F8" s="4" t="s">
        <v>69</v>
      </c>
      <c r="G8" s="5" t="s">
        <v>1</v>
      </c>
      <c r="H8" s="5" t="s">
        <v>44</v>
      </c>
      <c r="I8" s="5" t="s">
        <v>1</v>
      </c>
      <c r="J8" s="5" t="s">
        <v>1</v>
      </c>
      <c r="K8" s="5" t="s">
        <v>1</v>
      </c>
      <c r="L8" s="5" t="s">
        <v>1</v>
      </c>
      <c r="M8" s="5" t="s">
        <v>1</v>
      </c>
      <c r="N8" s="5" t="s">
        <v>1</v>
      </c>
    </row>
    <row r="9" ht="48" customHeight="1" spans="1:14" x14ac:dyDescent="0.25">
      <c r="A9" s="4" t="s">
        <v>70</v>
      </c>
      <c r="B9" s="4" t="s">
        <v>39</v>
      </c>
      <c r="C9" s="4" t="s">
        <v>46</v>
      </c>
      <c r="D9" s="4" t="s">
        <v>71</v>
      </c>
      <c r="E9" s="4" t="s">
        <v>72</v>
      </c>
      <c r="F9" s="4" t="s">
        <v>73</v>
      </c>
      <c r="G9" s="6" t="s">
        <v>1</v>
      </c>
      <c r="H9" s="6" t="s">
        <v>44</v>
      </c>
      <c r="I9" s="6" t="s">
        <v>1</v>
      </c>
      <c r="J9" s="6" t="s">
        <v>1</v>
      </c>
      <c r="K9" s="6" t="s">
        <v>1</v>
      </c>
      <c r="L9" s="6" t="s">
        <v>1</v>
      </c>
      <c r="M9" s="6" t="s">
        <v>1</v>
      </c>
      <c r="N9" s="6" t="s">
        <v>1</v>
      </c>
    </row>
    <row r="10" ht="48" customHeight="1" spans="1:14" x14ac:dyDescent="0.25">
      <c r="A10" s="4" t="s">
        <v>74</v>
      </c>
      <c r="B10" s="4" t="s">
        <v>39</v>
      </c>
      <c r="C10" s="4" t="s">
        <v>40</v>
      </c>
      <c r="D10" s="4" t="s">
        <v>75</v>
      </c>
      <c r="E10" s="4" t="s">
        <v>76</v>
      </c>
      <c r="F10" s="4" t="s">
        <v>77</v>
      </c>
      <c r="G10" s="5" t="s">
        <v>1</v>
      </c>
      <c r="H10" s="5" t="s">
        <v>44</v>
      </c>
      <c r="I10" s="5" t="s">
        <v>1</v>
      </c>
      <c r="J10" s="5" t="s">
        <v>1</v>
      </c>
      <c r="K10" s="5" t="s">
        <v>1</v>
      </c>
      <c r="L10" s="5" t="s">
        <v>1</v>
      </c>
      <c r="M10" s="5" t="s">
        <v>1</v>
      </c>
      <c r="N10" s="5" t="s">
        <v>1</v>
      </c>
    </row>
    <row r="11" ht="48" customHeight="1" spans="1:14" x14ac:dyDescent="0.25">
      <c r="A11" s="4" t="s">
        <v>78</v>
      </c>
      <c r="B11" s="4" t="s">
        <v>39</v>
      </c>
      <c r="C11" s="4" t="s">
        <v>46</v>
      </c>
      <c r="D11" s="4" t="s">
        <v>79</v>
      </c>
      <c r="E11" s="4" t="s">
        <v>80</v>
      </c>
      <c r="F11" s="4" t="s">
        <v>81</v>
      </c>
      <c r="G11" s="6" t="s">
        <v>1</v>
      </c>
      <c r="H11" s="6" t="s">
        <v>44</v>
      </c>
      <c r="I11" s="6" t="s">
        <v>1</v>
      </c>
      <c r="J11" s="6" t="s">
        <v>1</v>
      </c>
      <c r="K11" s="6" t="s">
        <v>1</v>
      </c>
      <c r="L11" s="6" t="s">
        <v>1</v>
      </c>
      <c r="M11" s="6" t="s">
        <v>1</v>
      </c>
      <c r="N11" s="6" t="s">
        <v>1</v>
      </c>
    </row>
    <row r="12" ht="48" customHeight="1" spans="1:14" x14ac:dyDescent="0.25">
      <c r="A12" s="4" t="s">
        <v>82</v>
      </c>
      <c r="B12" s="4" t="s">
        <v>39</v>
      </c>
      <c r="C12" s="4" t="s">
        <v>46</v>
      </c>
      <c r="D12" s="4" t="s">
        <v>83</v>
      </c>
      <c r="E12" s="4" t="s">
        <v>84</v>
      </c>
      <c r="F12" s="4" t="s">
        <v>85</v>
      </c>
      <c r="G12" s="5" t="s">
        <v>1</v>
      </c>
      <c r="H12" s="5" t="s">
        <v>44</v>
      </c>
      <c r="I12" s="5" t="s">
        <v>1</v>
      </c>
      <c r="J12" s="5" t="s">
        <v>1</v>
      </c>
      <c r="K12" s="5" t="s">
        <v>1</v>
      </c>
      <c r="L12" s="5" t="s">
        <v>1</v>
      </c>
      <c r="M12" s="5" t="s">
        <v>1</v>
      </c>
      <c r="N12" s="5" t="s">
        <v>1</v>
      </c>
    </row>
    <row r="13" ht="48" customHeight="1" spans="1:14" x14ac:dyDescent="0.25">
      <c r="A13" s="4" t="s">
        <v>86</v>
      </c>
      <c r="B13" s="4" t="s">
        <v>39</v>
      </c>
      <c r="C13" s="4" t="s">
        <v>46</v>
      </c>
      <c r="D13" s="4" t="s">
        <v>87</v>
      </c>
      <c r="E13" s="4" t="s">
        <v>88</v>
      </c>
      <c r="F13" s="4" t="s">
        <v>89</v>
      </c>
      <c r="G13" s="6" t="s">
        <v>1</v>
      </c>
      <c r="H13" s="6" t="s">
        <v>44</v>
      </c>
      <c r="I13" s="6" t="s">
        <v>1</v>
      </c>
      <c r="J13" s="6" t="s">
        <v>1</v>
      </c>
      <c r="K13" s="6" t="s">
        <v>1</v>
      </c>
      <c r="L13" s="6" t="s">
        <v>1</v>
      </c>
      <c r="M13" s="6" t="s">
        <v>1</v>
      </c>
      <c r="N13" s="6" t="s">
        <v>1</v>
      </c>
    </row>
    <row r="14" ht="48" customHeight="1" spans="1:14" x14ac:dyDescent="0.25">
      <c r="A14" s="4" t="s">
        <v>90</v>
      </c>
      <c r="B14" s="4" t="s">
        <v>39</v>
      </c>
      <c r="C14" s="4" t="s">
        <v>91</v>
      </c>
      <c r="D14" s="4" t="s">
        <v>92</v>
      </c>
      <c r="E14" s="4" t="s">
        <v>93</v>
      </c>
      <c r="F14" s="4" t="s">
        <v>94</v>
      </c>
      <c r="G14" s="5" t="s">
        <v>1</v>
      </c>
      <c r="H14" s="5" t="s">
        <v>44</v>
      </c>
      <c r="I14" s="5" t="s">
        <v>1</v>
      </c>
      <c r="J14" s="5" t="s">
        <v>1</v>
      </c>
      <c r="K14" s="5" t="s">
        <v>1</v>
      </c>
      <c r="L14" s="5" t="s">
        <v>1</v>
      </c>
      <c r="M14" s="5" t="s">
        <v>1</v>
      </c>
      <c r="N14" s="5" t="s">
        <v>1</v>
      </c>
    </row>
    <row r="15" ht="48" customHeight="1" spans="1:14" x14ac:dyDescent="0.25">
      <c r="A15" s="4" t="s">
        <v>95</v>
      </c>
      <c r="B15" s="4" t="s">
        <v>39</v>
      </c>
      <c r="C15" s="4" t="s">
        <v>46</v>
      </c>
      <c r="D15" s="4" t="s">
        <v>96</v>
      </c>
      <c r="E15" s="4" t="s">
        <v>97</v>
      </c>
      <c r="F15" s="4" t="s">
        <v>98</v>
      </c>
      <c r="G15" s="6" t="s">
        <v>1</v>
      </c>
      <c r="H15" s="6" t="s">
        <v>44</v>
      </c>
      <c r="I15" s="6" t="s">
        <v>1</v>
      </c>
      <c r="J15" s="6" t="s">
        <v>1</v>
      </c>
      <c r="K15" s="6" t="s">
        <v>1</v>
      </c>
      <c r="L15" s="6" t="s">
        <v>1</v>
      </c>
      <c r="M15" s="6" t="s">
        <v>1</v>
      </c>
      <c r="N15" s="6" t="s">
        <v>1</v>
      </c>
    </row>
    <row r="16" ht="48" customHeight="1" spans="1:14" x14ac:dyDescent="0.25">
      <c r="A16" s="4" t="s">
        <v>99</v>
      </c>
      <c r="B16" s="4" t="s">
        <v>39</v>
      </c>
      <c r="C16" s="4" t="s">
        <v>46</v>
      </c>
      <c r="D16" s="4" t="s">
        <v>100</v>
      </c>
      <c r="E16" s="4" t="s">
        <v>101</v>
      </c>
      <c r="F16" s="4" t="s">
        <v>102</v>
      </c>
      <c r="G16" s="5" t="s">
        <v>1</v>
      </c>
      <c r="H16" s="5" t="s">
        <v>44</v>
      </c>
      <c r="I16" s="5" t="s">
        <v>1</v>
      </c>
      <c r="J16" s="5" t="s">
        <v>1</v>
      </c>
      <c r="K16" s="5" t="s">
        <v>1</v>
      </c>
      <c r="L16" s="5" t="s">
        <v>1</v>
      </c>
      <c r="M16" s="5" t="s">
        <v>1</v>
      </c>
      <c r="N16" s="5" t="s">
        <v>1</v>
      </c>
    </row>
    <row r="17" ht="48" customHeight="1" spans="1:14" x14ac:dyDescent="0.25">
      <c r="A17" s="4" t="s">
        <v>103</v>
      </c>
      <c r="B17" s="4" t="s">
        <v>104</v>
      </c>
      <c r="C17" s="4" t="s">
        <v>40</v>
      </c>
      <c r="D17" s="4" t="s">
        <v>105</v>
      </c>
      <c r="E17" s="4" t="s">
        <v>106</v>
      </c>
      <c r="F17" s="4" t="s">
        <v>107</v>
      </c>
      <c r="G17" s="6" t="s">
        <v>1</v>
      </c>
      <c r="H17" s="6" t="s">
        <v>44</v>
      </c>
      <c r="I17" s="6" t="s">
        <v>1</v>
      </c>
      <c r="J17" s="6" t="s">
        <v>1</v>
      </c>
      <c r="K17" s="6" t="s">
        <v>1</v>
      </c>
      <c r="L17" s="6" t="s">
        <v>1</v>
      </c>
      <c r="M17" s="6" t="s">
        <v>1</v>
      </c>
      <c r="N17" s="6" t="s">
        <v>1</v>
      </c>
    </row>
    <row r="18" ht="48" customHeight="1" spans="1:14" x14ac:dyDescent="0.25">
      <c r="A18" s="4" t="s">
        <v>108</v>
      </c>
      <c r="B18" s="4" t="s">
        <v>104</v>
      </c>
      <c r="C18" s="4" t="s">
        <v>40</v>
      </c>
      <c r="D18" s="4" t="s">
        <v>109</v>
      </c>
      <c r="E18" s="4" t="s">
        <v>110</v>
      </c>
      <c r="F18" s="4" t="s">
        <v>111</v>
      </c>
      <c r="G18" s="5" t="s">
        <v>1</v>
      </c>
      <c r="H18" s="5" t="s">
        <v>44</v>
      </c>
      <c r="I18" s="5" t="s">
        <v>1</v>
      </c>
      <c r="J18" s="5" t="s">
        <v>1</v>
      </c>
      <c r="K18" s="5" t="s">
        <v>1</v>
      </c>
      <c r="L18" s="5" t="s">
        <v>1</v>
      </c>
      <c r="M18" s="5" t="s">
        <v>1</v>
      </c>
      <c r="N18" s="5" t="s">
        <v>1</v>
      </c>
    </row>
    <row r="19" ht="48" customHeight="1" spans="1:14" x14ac:dyDescent="0.25">
      <c r="A19" s="4" t="s">
        <v>112</v>
      </c>
      <c r="B19" s="4" t="s">
        <v>104</v>
      </c>
      <c r="C19" s="4" t="s">
        <v>40</v>
      </c>
      <c r="D19" s="4" t="s">
        <v>113</v>
      </c>
      <c r="E19" s="4" t="s">
        <v>114</v>
      </c>
      <c r="F19" s="4" t="s">
        <v>115</v>
      </c>
      <c r="G19" s="6" t="s">
        <v>1</v>
      </c>
      <c r="H19" s="6" t="s">
        <v>44</v>
      </c>
      <c r="I19" s="6" t="s">
        <v>1</v>
      </c>
      <c r="J19" s="6" t="s">
        <v>1</v>
      </c>
      <c r="K19" s="6" t="s">
        <v>1</v>
      </c>
      <c r="L19" s="6" t="s">
        <v>1</v>
      </c>
      <c r="M19" s="6" t="s">
        <v>1</v>
      </c>
      <c r="N19" s="6" t="s">
        <v>1</v>
      </c>
    </row>
    <row r="20" ht="48" customHeight="1" spans="1:14" x14ac:dyDescent="0.25">
      <c r="A20" s="4" t="s">
        <v>116</v>
      </c>
      <c r="B20" s="4" t="s">
        <v>104</v>
      </c>
      <c r="C20" s="4" t="s">
        <v>40</v>
      </c>
      <c r="D20" s="4" t="s">
        <v>117</v>
      </c>
      <c r="E20" s="4" t="s">
        <v>118</v>
      </c>
      <c r="F20" s="4" t="s">
        <v>119</v>
      </c>
      <c r="G20" s="5" t="s">
        <v>1</v>
      </c>
      <c r="H20" s="5" t="s">
        <v>44</v>
      </c>
      <c r="I20" s="5" t="s">
        <v>1</v>
      </c>
      <c r="J20" s="5" t="s">
        <v>1</v>
      </c>
      <c r="K20" s="5" t="s">
        <v>1</v>
      </c>
      <c r="L20" s="5" t="s">
        <v>1</v>
      </c>
      <c r="M20" s="5" t="s">
        <v>1</v>
      </c>
      <c r="N20" s="5" t="s">
        <v>1</v>
      </c>
    </row>
    <row r="21" ht="48" customHeight="1" spans="1:14" x14ac:dyDescent="0.25">
      <c r="A21" s="4" t="s">
        <v>120</v>
      </c>
      <c r="B21" s="4" t="s">
        <v>104</v>
      </c>
      <c r="C21" s="4" t="s">
        <v>46</v>
      </c>
      <c r="D21" s="4" t="s">
        <v>121</v>
      </c>
      <c r="E21" s="4" t="s">
        <v>122</v>
      </c>
      <c r="F21" s="4" t="s">
        <v>123</v>
      </c>
      <c r="G21" s="6" t="s">
        <v>1</v>
      </c>
      <c r="H21" s="6" t="s">
        <v>44</v>
      </c>
      <c r="I21" s="6" t="s">
        <v>1</v>
      </c>
      <c r="J21" s="6" t="s">
        <v>1</v>
      </c>
      <c r="K21" s="6" t="s">
        <v>1</v>
      </c>
      <c r="L21" s="6" t="s">
        <v>1</v>
      </c>
      <c r="M21" s="6" t="s">
        <v>1</v>
      </c>
      <c r="N21" s="6" t="s">
        <v>1</v>
      </c>
    </row>
    <row r="22" ht="48" customHeight="1" spans="1:14" x14ac:dyDescent="0.25">
      <c r="A22" s="4" t="s">
        <v>124</v>
      </c>
      <c r="B22" s="4" t="s">
        <v>104</v>
      </c>
      <c r="C22" s="4" t="s">
        <v>46</v>
      </c>
      <c r="D22" s="4" t="s">
        <v>125</v>
      </c>
      <c r="E22" s="4" t="s">
        <v>126</v>
      </c>
      <c r="F22" s="4" t="s">
        <v>127</v>
      </c>
      <c r="G22" s="5" t="s">
        <v>1</v>
      </c>
      <c r="H22" s="5" t="s">
        <v>44</v>
      </c>
      <c r="I22" s="5" t="s">
        <v>1</v>
      </c>
      <c r="J22" s="5" t="s">
        <v>1</v>
      </c>
      <c r="K22" s="5" t="s">
        <v>1</v>
      </c>
      <c r="L22" s="5" t="s">
        <v>1</v>
      </c>
      <c r="M22" s="5" t="s">
        <v>1</v>
      </c>
      <c r="N22" s="5" t="s">
        <v>1</v>
      </c>
    </row>
    <row r="23" ht="48" customHeight="1" spans="1:14" x14ac:dyDescent="0.25">
      <c r="A23" s="4" t="s">
        <v>128</v>
      </c>
      <c r="B23" s="4" t="s">
        <v>104</v>
      </c>
      <c r="C23" s="4" t="s">
        <v>40</v>
      </c>
      <c r="D23" s="4" t="s">
        <v>129</v>
      </c>
      <c r="E23" s="4" t="s">
        <v>130</v>
      </c>
      <c r="F23" s="4" t="s">
        <v>131</v>
      </c>
      <c r="G23" s="6" t="s">
        <v>1</v>
      </c>
      <c r="H23" s="6" t="s">
        <v>44</v>
      </c>
      <c r="I23" s="6" t="s">
        <v>1</v>
      </c>
      <c r="J23" s="6" t="s">
        <v>1</v>
      </c>
      <c r="K23" s="6" t="s">
        <v>1</v>
      </c>
      <c r="L23" s="6" t="s">
        <v>1</v>
      </c>
      <c r="M23" s="6" t="s">
        <v>1</v>
      </c>
      <c r="N23" s="6" t="s">
        <v>1</v>
      </c>
    </row>
    <row r="24" ht="48" customHeight="1" spans="1:14" x14ac:dyDescent="0.25">
      <c r="A24" s="4" t="s">
        <v>132</v>
      </c>
      <c r="B24" s="4" t="s">
        <v>104</v>
      </c>
      <c r="C24" s="4" t="s">
        <v>46</v>
      </c>
      <c r="D24" s="4" t="s">
        <v>133</v>
      </c>
      <c r="E24" s="4" t="s">
        <v>134</v>
      </c>
      <c r="F24" s="4" t="s">
        <v>135</v>
      </c>
      <c r="G24" s="5" t="s">
        <v>1</v>
      </c>
      <c r="H24" s="5" t="s">
        <v>44</v>
      </c>
      <c r="I24" s="5" t="s">
        <v>1</v>
      </c>
      <c r="J24" s="5" t="s">
        <v>1</v>
      </c>
      <c r="K24" s="5" t="s">
        <v>1</v>
      </c>
      <c r="L24" s="5" t="s">
        <v>1</v>
      </c>
      <c r="M24" s="5" t="s">
        <v>1</v>
      </c>
      <c r="N24" s="5" t="s">
        <v>1</v>
      </c>
    </row>
    <row r="25" ht="48" customHeight="1" spans="1:14" x14ac:dyDescent="0.25">
      <c r="A25" s="4" t="s">
        <v>136</v>
      </c>
      <c r="B25" s="4" t="s">
        <v>104</v>
      </c>
      <c r="C25" s="4" t="s">
        <v>40</v>
      </c>
      <c r="D25" s="4" t="s">
        <v>137</v>
      </c>
      <c r="E25" s="4" t="s">
        <v>138</v>
      </c>
      <c r="F25" s="4" t="s">
        <v>139</v>
      </c>
      <c r="G25" s="6" t="s">
        <v>1</v>
      </c>
      <c r="H25" s="6" t="s">
        <v>44</v>
      </c>
      <c r="I25" s="6" t="s">
        <v>1</v>
      </c>
      <c r="J25" s="6" t="s">
        <v>1</v>
      </c>
      <c r="K25" s="6" t="s">
        <v>1</v>
      </c>
      <c r="L25" s="6" t="s">
        <v>1</v>
      </c>
      <c r="M25" s="6" t="s">
        <v>1</v>
      </c>
      <c r="N25" s="6" t="s">
        <v>1</v>
      </c>
    </row>
    <row r="26" ht="48" customHeight="1" spans="1:14" x14ac:dyDescent="0.25">
      <c r="A26" s="4" t="s">
        <v>140</v>
      </c>
      <c r="B26" s="4" t="s">
        <v>104</v>
      </c>
      <c r="C26" s="4" t="s">
        <v>40</v>
      </c>
      <c r="D26" s="4" t="s">
        <v>141</v>
      </c>
      <c r="E26" s="4" t="s">
        <v>142</v>
      </c>
      <c r="F26" s="4" t="s">
        <v>143</v>
      </c>
      <c r="G26" s="5" t="s">
        <v>1</v>
      </c>
      <c r="H26" s="5" t="s">
        <v>44</v>
      </c>
      <c r="I26" s="5" t="s">
        <v>1</v>
      </c>
      <c r="J26" s="5" t="s">
        <v>1</v>
      </c>
      <c r="K26" s="5" t="s">
        <v>1</v>
      </c>
      <c r="L26" s="5" t="s">
        <v>1</v>
      </c>
      <c r="M26" s="5" t="s">
        <v>1</v>
      </c>
      <c r="N26" s="5" t="s">
        <v>1</v>
      </c>
    </row>
    <row r="27" ht="48" customHeight="1" spans="1:14" x14ac:dyDescent="0.25">
      <c r="A27" s="4" t="s">
        <v>144</v>
      </c>
      <c r="B27" s="4" t="s">
        <v>104</v>
      </c>
      <c r="C27" s="4" t="s">
        <v>46</v>
      </c>
      <c r="D27" s="4" t="s">
        <v>145</v>
      </c>
      <c r="E27" s="4" t="s">
        <v>146</v>
      </c>
      <c r="F27" s="4" t="s">
        <v>147</v>
      </c>
      <c r="G27" s="6" t="s">
        <v>1</v>
      </c>
      <c r="H27" s="6" t="s">
        <v>44</v>
      </c>
      <c r="I27" s="6" t="s">
        <v>1</v>
      </c>
      <c r="J27" s="6" t="s">
        <v>1</v>
      </c>
      <c r="K27" s="6" t="s">
        <v>1</v>
      </c>
      <c r="L27" s="6" t="s">
        <v>1</v>
      </c>
      <c r="M27" s="6" t="s">
        <v>1</v>
      </c>
      <c r="N27" s="6" t="s">
        <v>1</v>
      </c>
    </row>
    <row r="28" ht="48" customHeight="1" spans="1:14" x14ac:dyDescent="0.25">
      <c r="A28" s="4" t="s">
        <v>148</v>
      </c>
      <c r="B28" s="4" t="s">
        <v>104</v>
      </c>
      <c r="C28" s="4" t="s">
        <v>46</v>
      </c>
      <c r="D28" s="4" t="s">
        <v>149</v>
      </c>
      <c r="E28" s="4" t="s">
        <v>150</v>
      </c>
      <c r="F28" s="4" t="s">
        <v>151</v>
      </c>
      <c r="G28" s="5" t="s">
        <v>1</v>
      </c>
      <c r="H28" s="5" t="s">
        <v>44</v>
      </c>
      <c r="I28" s="5" t="s">
        <v>1</v>
      </c>
      <c r="J28" s="5" t="s">
        <v>1</v>
      </c>
      <c r="K28" s="5" t="s">
        <v>1</v>
      </c>
      <c r="L28" s="5" t="s">
        <v>1</v>
      </c>
      <c r="M28" s="5" t="s">
        <v>1</v>
      </c>
      <c r="N28" s="5" t="s">
        <v>1</v>
      </c>
    </row>
    <row r="29" ht="48" customHeight="1" spans="1:14" x14ac:dyDescent="0.25">
      <c r="A29" s="4" t="s">
        <v>152</v>
      </c>
      <c r="B29" s="4" t="s">
        <v>153</v>
      </c>
      <c r="C29" s="4" t="s">
        <v>40</v>
      </c>
      <c r="D29" s="4" t="s">
        <v>154</v>
      </c>
      <c r="E29" s="4" t="s">
        <v>155</v>
      </c>
      <c r="F29" s="4" t="s">
        <v>156</v>
      </c>
      <c r="G29" s="6" t="s">
        <v>1</v>
      </c>
      <c r="H29" s="6" t="s">
        <v>44</v>
      </c>
      <c r="I29" s="6" t="s">
        <v>1</v>
      </c>
      <c r="J29" s="6" t="s">
        <v>1</v>
      </c>
      <c r="K29" s="6" t="s">
        <v>1</v>
      </c>
      <c r="L29" s="6" t="s">
        <v>1</v>
      </c>
      <c r="M29" s="6" t="s">
        <v>1</v>
      </c>
      <c r="N29" s="6" t="s">
        <v>1</v>
      </c>
    </row>
    <row r="30" ht="48" customHeight="1" spans="1:14" x14ac:dyDescent="0.25">
      <c r="A30" s="4" t="s">
        <v>157</v>
      </c>
      <c r="B30" s="4" t="s">
        <v>153</v>
      </c>
      <c r="C30" s="4" t="s">
        <v>40</v>
      </c>
      <c r="D30" s="4" t="s">
        <v>158</v>
      </c>
      <c r="E30" s="4" t="s">
        <v>159</v>
      </c>
      <c r="F30" s="4" t="s">
        <v>160</v>
      </c>
      <c r="G30" s="5" t="s">
        <v>1</v>
      </c>
      <c r="H30" s="5" t="s">
        <v>44</v>
      </c>
      <c r="I30" s="5" t="s">
        <v>1</v>
      </c>
      <c r="J30" s="5" t="s">
        <v>1</v>
      </c>
      <c r="K30" s="5" t="s">
        <v>1</v>
      </c>
      <c r="L30" s="5" t="s">
        <v>1</v>
      </c>
      <c r="M30" s="5" t="s">
        <v>1</v>
      </c>
      <c r="N30" s="5" t="s">
        <v>1</v>
      </c>
    </row>
    <row r="31" ht="48" customHeight="1" spans="1:14" x14ac:dyDescent="0.25">
      <c r="A31" s="4" t="s">
        <v>161</v>
      </c>
      <c r="B31" s="4" t="s">
        <v>153</v>
      </c>
      <c r="C31" s="4" t="s">
        <v>40</v>
      </c>
      <c r="D31" s="4" t="s">
        <v>162</v>
      </c>
      <c r="E31" s="4" t="s">
        <v>163</v>
      </c>
      <c r="F31" s="4" t="s">
        <v>164</v>
      </c>
      <c r="G31" s="6" t="s">
        <v>1</v>
      </c>
      <c r="H31" s="6" t="s">
        <v>44</v>
      </c>
      <c r="I31" s="6" t="s">
        <v>1</v>
      </c>
      <c r="J31" s="6" t="s">
        <v>1</v>
      </c>
      <c r="K31" s="6" t="s">
        <v>1</v>
      </c>
      <c r="L31" s="6" t="s">
        <v>1</v>
      </c>
      <c r="M31" s="6" t="s">
        <v>1</v>
      </c>
      <c r="N31" s="6" t="s">
        <v>1</v>
      </c>
    </row>
    <row r="32" ht="48" customHeight="1" spans="1:14" x14ac:dyDescent="0.25">
      <c r="A32" s="4" t="s">
        <v>165</v>
      </c>
      <c r="B32" s="4" t="s">
        <v>153</v>
      </c>
      <c r="C32" s="4" t="s">
        <v>40</v>
      </c>
      <c r="D32" s="4" t="s">
        <v>166</v>
      </c>
      <c r="E32" s="4" t="s">
        <v>167</v>
      </c>
      <c r="F32" s="4" t="s">
        <v>168</v>
      </c>
      <c r="G32" s="5" t="s">
        <v>1</v>
      </c>
      <c r="H32" s="5" t="s">
        <v>44</v>
      </c>
      <c r="I32" s="5" t="s">
        <v>1</v>
      </c>
      <c r="J32" s="5" t="s">
        <v>1</v>
      </c>
      <c r="K32" s="5" t="s">
        <v>1</v>
      </c>
      <c r="L32" s="5" t="s">
        <v>1</v>
      </c>
      <c r="M32" s="5" t="s">
        <v>1</v>
      </c>
      <c r="N32" s="5" t="s">
        <v>1</v>
      </c>
    </row>
    <row r="33" ht="48" customHeight="1" spans="1:14" x14ac:dyDescent="0.25">
      <c r="A33" s="4" t="s">
        <v>169</v>
      </c>
      <c r="B33" s="4" t="s">
        <v>153</v>
      </c>
      <c r="C33" s="4" t="s">
        <v>40</v>
      </c>
      <c r="D33" s="4" t="s">
        <v>170</v>
      </c>
      <c r="E33" s="4" t="s">
        <v>171</v>
      </c>
      <c r="F33" s="4" t="s">
        <v>172</v>
      </c>
      <c r="G33" s="6" t="s">
        <v>1</v>
      </c>
      <c r="H33" s="6" t="s">
        <v>44</v>
      </c>
      <c r="I33" s="6" t="s">
        <v>1</v>
      </c>
      <c r="J33" s="6" t="s">
        <v>1</v>
      </c>
      <c r="K33" s="6" t="s">
        <v>1</v>
      </c>
      <c r="L33" s="6" t="s">
        <v>1</v>
      </c>
      <c r="M33" s="6" t="s">
        <v>1</v>
      </c>
      <c r="N33" s="6" t="s">
        <v>1</v>
      </c>
    </row>
    <row r="34" ht="48" customHeight="1" spans="1:14" x14ac:dyDescent="0.25">
      <c r="A34" s="4" t="s">
        <v>173</v>
      </c>
      <c r="B34" s="4" t="s">
        <v>153</v>
      </c>
      <c r="C34" s="4" t="s">
        <v>46</v>
      </c>
      <c r="D34" s="4" t="s">
        <v>174</v>
      </c>
      <c r="E34" s="4" t="s">
        <v>175</v>
      </c>
      <c r="F34" s="4" t="s">
        <v>176</v>
      </c>
      <c r="G34" s="5" t="s">
        <v>1</v>
      </c>
      <c r="H34" s="5" t="s">
        <v>44</v>
      </c>
      <c r="I34" s="5" t="s">
        <v>1</v>
      </c>
      <c r="J34" s="5" t="s">
        <v>1</v>
      </c>
      <c r="K34" s="5" t="s">
        <v>1</v>
      </c>
      <c r="L34" s="5" t="s">
        <v>1</v>
      </c>
      <c r="M34" s="5" t="s">
        <v>1</v>
      </c>
      <c r="N34" s="5" t="s">
        <v>1</v>
      </c>
    </row>
    <row r="35" ht="48" customHeight="1" spans="1:14" x14ac:dyDescent="0.25">
      <c r="A35" s="4" t="s">
        <v>177</v>
      </c>
      <c r="B35" s="4" t="s">
        <v>153</v>
      </c>
      <c r="C35" s="4" t="s">
        <v>46</v>
      </c>
      <c r="D35" s="4" t="s">
        <v>178</v>
      </c>
      <c r="E35" s="4" t="s">
        <v>179</v>
      </c>
      <c r="F35" s="4" t="s">
        <v>180</v>
      </c>
      <c r="G35" s="6" t="s">
        <v>1</v>
      </c>
      <c r="H35" s="6" t="s">
        <v>44</v>
      </c>
      <c r="I35" s="6" t="s">
        <v>1</v>
      </c>
      <c r="J35" s="6" t="s">
        <v>1</v>
      </c>
      <c r="K35" s="6" t="s">
        <v>1</v>
      </c>
      <c r="L35" s="6" t="s">
        <v>1</v>
      </c>
      <c r="M35" s="6" t="s">
        <v>1</v>
      </c>
      <c r="N35" s="6" t="s">
        <v>1</v>
      </c>
    </row>
    <row r="36" ht="48" customHeight="1" spans="1:14" x14ac:dyDescent="0.25">
      <c r="A36" s="4" t="s">
        <v>181</v>
      </c>
      <c r="B36" s="4" t="s">
        <v>153</v>
      </c>
      <c r="C36" s="4" t="s">
        <v>46</v>
      </c>
      <c r="D36" s="4" t="s">
        <v>182</v>
      </c>
      <c r="E36" s="4" t="s">
        <v>183</v>
      </c>
      <c r="F36" s="4" t="s">
        <v>184</v>
      </c>
      <c r="G36" s="5" t="s">
        <v>1</v>
      </c>
      <c r="H36" s="5" t="s">
        <v>44</v>
      </c>
      <c r="I36" s="5" t="s">
        <v>1</v>
      </c>
      <c r="J36" s="5" t="s">
        <v>1</v>
      </c>
      <c r="K36" s="5" t="s">
        <v>1</v>
      </c>
      <c r="L36" s="5" t="s">
        <v>1</v>
      </c>
      <c r="M36" s="5" t="s">
        <v>1</v>
      </c>
      <c r="N36" s="5" t="s">
        <v>1</v>
      </c>
    </row>
    <row r="37" ht="48" customHeight="1" spans="1:14" x14ac:dyDescent="0.25">
      <c r="A37" s="4" t="s">
        <v>185</v>
      </c>
      <c r="B37" s="4" t="s">
        <v>186</v>
      </c>
      <c r="C37" s="4" t="s">
        <v>40</v>
      </c>
      <c r="D37" s="4" t="s">
        <v>187</v>
      </c>
      <c r="E37" s="4" t="s">
        <v>188</v>
      </c>
      <c r="F37" s="4" t="s">
        <v>189</v>
      </c>
      <c r="G37" s="6" t="s">
        <v>1</v>
      </c>
      <c r="H37" s="6" t="s">
        <v>44</v>
      </c>
      <c r="I37" s="6" t="s">
        <v>1</v>
      </c>
      <c r="J37" s="6" t="s">
        <v>1</v>
      </c>
      <c r="K37" s="6" t="s">
        <v>1</v>
      </c>
      <c r="L37" s="6" t="s">
        <v>1</v>
      </c>
      <c r="M37" s="6" t="s">
        <v>1</v>
      </c>
      <c r="N37" s="6" t="s">
        <v>1</v>
      </c>
    </row>
    <row r="38" ht="48" customHeight="1" spans="1:14" x14ac:dyDescent="0.25">
      <c r="A38" s="4" t="s">
        <v>190</v>
      </c>
      <c r="B38" s="4" t="s">
        <v>186</v>
      </c>
      <c r="C38" s="4" t="s">
        <v>40</v>
      </c>
      <c r="D38" s="4" t="s">
        <v>191</v>
      </c>
      <c r="E38" s="4" t="s">
        <v>192</v>
      </c>
      <c r="F38" s="4" t="s">
        <v>193</v>
      </c>
      <c r="G38" s="5" t="s">
        <v>1</v>
      </c>
      <c r="H38" s="5" t="s">
        <v>44</v>
      </c>
      <c r="I38" s="5" t="s">
        <v>1</v>
      </c>
      <c r="J38" s="5" t="s">
        <v>1</v>
      </c>
      <c r="K38" s="5" t="s">
        <v>1</v>
      </c>
      <c r="L38" s="5" t="s">
        <v>1</v>
      </c>
      <c r="M38" s="5" t="s">
        <v>1</v>
      </c>
      <c r="N38" s="5" t="s">
        <v>1</v>
      </c>
    </row>
    <row r="39" ht="48" customHeight="1" spans="1:14" x14ac:dyDescent="0.25">
      <c r="A39" s="4" t="s">
        <v>194</v>
      </c>
      <c r="B39" s="4" t="s">
        <v>186</v>
      </c>
      <c r="C39" s="4" t="s">
        <v>40</v>
      </c>
      <c r="D39" s="4" t="s">
        <v>195</v>
      </c>
      <c r="E39" s="4" t="s">
        <v>196</v>
      </c>
      <c r="F39" s="4" t="s">
        <v>197</v>
      </c>
      <c r="G39" s="6" t="s">
        <v>1</v>
      </c>
      <c r="H39" s="6" t="s">
        <v>44</v>
      </c>
      <c r="I39" s="6" t="s">
        <v>1</v>
      </c>
      <c r="J39" s="6" t="s">
        <v>1</v>
      </c>
      <c r="K39" s="6" t="s">
        <v>1</v>
      </c>
      <c r="L39" s="6" t="s">
        <v>1</v>
      </c>
      <c r="M39" s="6" t="s">
        <v>1</v>
      </c>
      <c r="N39" s="6" t="s">
        <v>1</v>
      </c>
    </row>
    <row r="40" ht="48" customHeight="1" spans="1:14" x14ac:dyDescent="0.25">
      <c r="A40" s="4" t="s">
        <v>198</v>
      </c>
      <c r="B40" s="4" t="s">
        <v>186</v>
      </c>
      <c r="C40" s="4" t="s">
        <v>40</v>
      </c>
      <c r="D40" s="4" t="s">
        <v>199</v>
      </c>
      <c r="E40" s="4" t="s">
        <v>200</v>
      </c>
      <c r="F40" s="4" t="s">
        <v>201</v>
      </c>
      <c r="G40" s="5" t="s">
        <v>1</v>
      </c>
      <c r="H40" s="5" t="s">
        <v>44</v>
      </c>
      <c r="I40" s="5" t="s">
        <v>1</v>
      </c>
      <c r="J40" s="5" t="s">
        <v>1</v>
      </c>
      <c r="K40" s="5" t="s">
        <v>1</v>
      </c>
      <c r="L40" s="5" t="s">
        <v>1</v>
      </c>
      <c r="M40" s="5" t="s">
        <v>1</v>
      </c>
      <c r="N40" s="5" t="s">
        <v>1</v>
      </c>
    </row>
    <row r="41" ht="48" customHeight="1" spans="1:14" x14ac:dyDescent="0.25">
      <c r="A41" s="4" t="s">
        <v>202</v>
      </c>
      <c r="B41" s="4" t="s">
        <v>186</v>
      </c>
      <c r="C41" s="4" t="s">
        <v>40</v>
      </c>
      <c r="D41" s="4" t="s">
        <v>203</v>
      </c>
      <c r="E41" s="4" t="s">
        <v>204</v>
      </c>
      <c r="F41" s="4" t="s">
        <v>205</v>
      </c>
      <c r="G41" s="6" t="s">
        <v>1</v>
      </c>
      <c r="H41" s="6" t="s">
        <v>44</v>
      </c>
      <c r="I41" s="6" t="s">
        <v>1</v>
      </c>
      <c r="J41" s="6" t="s">
        <v>1</v>
      </c>
      <c r="K41" s="6" t="s">
        <v>1</v>
      </c>
      <c r="L41" s="6" t="s">
        <v>1</v>
      </c>
      <c r="M41" s="6" t="s">
        <v>1</v>
      </c>
      <c r="N41" s="6" t="s">
        <v>1</v>
      </c>
    </row>
    <row r="42" ht="48" customHeight="1" spans="1:14" x14ac:dyDescent="0.25">
      <c r="A42" s="4" t="s">
        <v>206</v>
      </c>
      <c r="B42" s="4" t="s">
        <v>186</v>
      </c>
      <c r="C42" s="4" t="s">
        <v>40</v>
      </c>
      <c r="D42" s="4" t="s">
        <v>207</v>
      </c>
      <c r="E42" s="4" t="s">
        <v>208</v>
      </c>
      <c r="F42" s="4" t="s">
        <v>209</v>
      </c>
      <c r="G42" s="5" t="s">
        <v>1</v>
      </c>
      <c r="H42" s="5" t="s">
        <v>44</v>
      </c>
      <c r="I42" s="5" t="s">
        <v>1</v>
      </c>
      <c r="J42" s="5" t="s">
        <v>1</v>
      </c>
      <c r="K42" s="5" t="s">
        <v>1</v>
      </c>
      <c r="L42" s="5" t="s">
        <v>1</v>
      </c>
      <c r="M42" s="5" t="s">
        <v>1</v>
      </c>
      <c r="N42" s="5" t="s">
        <v>1</v>
      </c>
    </row>
    <row r="43" ht="48" customHeight="1" spans="1:14" x14ac:dyDescent="0.25">
      <c r="A43" s="4" t="s">
        <v>210</v>
      </c>
      <c r="B43" s="4" t="s">
        <v>186</v>
      </c>
      <c r="C43" s="4" t="s">
        <v>46</v>
      </c>
      <c r="D43" s="4" t="s">
        <v>211</v>
      </c>
      <c r="E43" s="4" t="s">
        <v>212</v>
      </c>
      <c r="F43" s="4" t="s">
        <v>213</v>
      </c>
      <c r="G43" s="6" t="s">
        <v>1</v>
      </c>
      <c r="H43" s="6" t="s">
        <v>44</v>
      </c>
      <c r="I43" s="6" t="s">
        <v>1</v>
      </c>
      <c r="J43" s="6" t="s">
        <v>1</v>
      </c>
      <c r="K43" s="6" t="s">
        <v>1</v>
      </c>
      <c r="L43" s="6" t="s">
        <v>1</v>
      </c>
      <c r="M43" s="6" t="s">
        <v>1</v>
      </c>
      <c r="N43" s="6" t="s">
        <v>1</v>
      </c>
    </row>
    <row r="44" ht="48" customHeight="1" spans="1:14" x14ac:dyDescent="0.25">
      <c r="A44" s="4" t="s">
        <v>214</v>
      </c>
      <c r="B44" s="4" t="s">
        <v>186</v>
      </c>
      <c r="C44" s="4" t="s">
        <v>40</v>
      </c>
      <c r="D44" s="4" t="s">
        <v>215</v>
      </c>
      <c r="E44" s="4" t="s">
        <v>216</v>
      </c>
      <c r="F44" s="4" t="s">
        <v>217</v>
      </c>
      <c r="G44" s="5" t="s">
        <v>1</v>
      </c>
      <c r="H44" s="5" t="s">
        <v>44</v>
      </c>
      <c r="I44" s="5" t="s">
        <v>1</v>
      </c>
      <c r="J44" s="5" t="s">
        <v>1</v>
      </c>
      <c r="K44" s="5" t="s">
        <v>1</v>
      </c>
      <c r="L44" s="5" t="s">
        <v>1</v>
      </c>
      <c r="M44" s="5" t="s">
        <v>1</v>
      </c>
      <c r="N44" s="5" t="s">
        <v>1</v>
      </c>
    </row>
    <row r="45" ht="48" customHeight="1" spans="1:14" x14ac:dyDescent="0.25">
      <c r="A45" s="4" t="s">
        <v>218</v>
      </c>
      <c r="B45" s="4" t="s">
        <v>186</v>
      </c>
      <c r="C45" s="4" t="s">
        <v>46</v>
      </c>
      <c r="D45" s="4" t="s">
        <v>219</v>
      </c>
      <c r="E45" s="4" t="s">
        <v>220</v>
      </c>
      <c r="F45" s="4" t="s">
        <v>221</v>
      </c>
      <c r="G45" s="6" t="s">
        <v>1</v>
      </c>
      <c r="H45" s="6" t="s">
        <v>44</v>
      </c>
      <c r="I45" s="6" t="s">
        <v>1</v>
      </c>
      <c r="J45" s="6" t="s">
        <v>1</v>
      </c>
      <c r="K45" s="6" t="s">
        <v>1</v>
      </c>
      <c r="L45" s="6" t="s">
        <v>1</v>
      </c>
      <c r="M45" s="6" t="s">
        <v>1</v>
      </c>
      <c r="N45" s="6" t="s">
        <v>1</v>
      </c>
    </row>
    <row r="46" ht="48" customHeight="1" spans="1:14" x14ac:dyDescent="0.25">
      <c r="A46" s="4" t="s">
        <v>222</v>
      </c>
      <c r="B46" s="4" t="s">
        <v>186</v>
      </c>
      <c r="C46" s="4" t="s">
        <v>46</v>
      </c>
      <c r="D46" s="4" t="s">
        <v>223</v>
      </c>
      <c r="E46" s="4" t="s">
        <v>224</v>
      </c>
      <c r="F46" s="4" t="s">
        <v>225</v>
      </c>
      <c r="G46" s="5" t="s">
        <v>1</v>
      </c>
      <c r="H46" s="5" t="s">
        <v>44</v>
      </c>
      <c r="I46" s="5" t="s">
        <v>1</v>
      </c>
      <c r="J46" s="5" t="s">
        <v>1</v>
      </c>
      <c r="K46" s="5" t="s">
        <v>1</v>
      </c>
      <c r="L46" s="5" t="s">
        <v>1</v>
      </c>
      <c r="M46" s="5" t="s">
        <v>1</v>
      </c>
      <c r="N46" s="5" t="s">
        <v>1</v>
      </c>
    </row>
    <row r="47" ht="48" customHeight="1" spans="1:14" x14ac:dyDescent="0.25">
      <c r="A47" s="4" t="s">
        <v>226</v>
      </c>
      <c r="B47" s="4" t="s">
        <v>186</v>
      </c>
      <c r="C47" s="4" t="s">
        <v>40</v>
      </c>
      <c r="D47" s="4" t="s">
        <v>227</v>
      </c>
      <c r="E47" s="4" t="s">
        <v>228</v>
      </c>
      <c r="F47" s="4" t="s">
        <v>229</v>
      </c>
      <c r="G47" s="6" t="s">
        <v>1</v>
      </c>
      <c r="H47" s="6" t="s">
        <v>44</v>
      </c>
      <c r="I47" s="6" t="s">
        <v>1</v>
      </c>
      <c r="J47" s="6" t="s">
        <v>1</v>
      </c>
      <c r="K47" s="6" t="s">
        <v>1</v>
      </c>
      <c r="L47" s="6" t="s">
        <v>1</v>
      </c>
      <c r="M47" s="6" t="s">
        <v>1</v>
      </c>
      <c r="N47" s="6" t="s">
        <v>1</v>
      </c>
    </row>
    <row r="48" ht="48" customHeight="1" spans="1:14" x14ac:dyDescent="0.25">
      <c r="A48" s="4" t="s">
        <v>230</v>
      </c>
      <c r="B48" s="4" t="s">
        <v>186</v>
      </c>
      <c r="C48" s="4" t="s">
        <v>46</v>
      </c>
      <c r="D48" s="4" t="s">
        <v>231</v>
      </c>
      <c r="E48" s="4" t="s">
        <v>232</v>
      </c>
      <c r="F48" s="4" t="s">
        <v>233</v>
      </c>
      <c r="G48" s="5" t="s">
        <v>1</v>
      </c>
      <c r="H48" s="5" t="s">
        <v>44</v>
      </c>
      <c r="I48" s="5" t="s">
        <v>1</v>
      </c>
      <c r="J48" s="5" t="s">
        <v>1</v>
      </c>
      <c r="K48" s="5" t="s">
        <v>1</v>
      </c>
      <c r="L48" s="5" t="s">
        <v>1</v>
      </c>
      <c r="M48" s="5" t="s">
        <v>1</v>
      </c>
      <c r="N48" s="5" t="s">
        <v>1</v>
      </c>
    </row>
    <row r="49" ht="48" customHeight="1" spans="1:14" x14ac:dyDescent="0.25">
      <c r="A49" s="4" t="s">
        <v>234</v>
      </c>
      <c r="B49" s="4" t="s">
        <v>186</v>
      </c>
      <c r="C49" s="4" t="s">
        <v>46</v>
      </c>
      <c r="D49" s="4" t="s">
        <v>235</v>
      </c>
      <c r="E49" s="4" t="s">
        <v>236</v>
      </c>
      <c r="F49" s="4" t="s">
        <v>237</v>
      </c>
      <c r="G49" s="6" t="s">
        <v>1</v>
      </c>
      <c r="H49" s="6" t="s">
        <v>44</v>
      </c>
      <c r="I49" s="6" t="s">
        <v>1</v>
      </c>
      <c r="J49" s="6" t="s">
        <v>1</v>
      </c>
      <c r="K49" s="6" t="s">
        <v>1</v>
      </c>
      <c r="L49" s="6" t="s">
        <v>1</v>
      </c>
      <c r="M49" s="6" t="s">
        <v>1</v>
      </c>
      <c r="N49" s="6" t="s">
        <v>1</v>
      </c>
    </row>
    <row r="50" ht="48" customHeight="1" spans="1:14" x14ac:dyDescent="0.25">
      <c r="A50" s="4" t="s">
        <v>238</v>
      </c>
      <c r="B50" s="4" t="s">
        <v>186</v>
      </c>
      <c r="C50" s="4" t="s">
        <v>46</v>
      </c>
      <c r="D50" s="4" t="s">
        <v>239</v>
      </c>
      <c r="E50" s="4" t="s">
        <v>240</v>
      </c>
      <c r="F50" s="4" t="s">
        <v>241</v>
      </c>
      <c r="G50" s="5" t="s">
        <v>1</v>
      </c>
      <c r="H50" s="5" t="s">
        <v>44</v>
      </c>
      <c r="I50" s="5" t="s">
        <v>1</v>
      </c>
      <c r="J50" s="5" t="s">
        <v>1</v>
      </c>
      <c r="K50" s="5" t="s">
        <v>1</v>
      </c>
      <c r="L50" s="5" t="s">
        <v>1</v>
      </c>
      <c r="M50" s="5" t="s">
        <v>1</v>
      </c>
      <c r="N50" s="5" t="s">
        <v>1</v>
      </c>
    </row>
    <row r="51" ht="48" customHeight="1" spans="1:14" x14ac:dyDescent="0.25">
      <c r="A51" s="4" t="s">
        <v>242</v>
      </c>
      <c r="B51" s="4" t="s">
        <v>186</v>
      </c>
      <c r="C51" s="4" t="s">
        <v>46</v>
      </c>
      <c r="D51" s="4" t="s">
        <v>243</v>
      </c>
      <c r="E51" s="4" t="s">
        <v>244</v>
      </c>
      <c r="F51" s="4" t="s">
        <v>245</v>
      </c>
      <c r="G51" s="6" t="s">
        <v>1</v>
      </c>
      <c r="H51" s="6" t="s">
        <v>44</v>
      </c>
      <c r="I51" s="6" t="s">
        <v>1</v>
      </c>
      <c r="J51" s="6" t="s">
        <v>1</v>
      </c>
      <c r="K51" s="6" t="s">
        <v>1</v>
      </c>
      <c r="L51" s="6" t="s">
        <v>1</v>
      </c>
      <c r="M51" s="6" t="s">
        <v>1</v>
      </c>
      <c r="N51" s="6" t="s">
        <v>1</v>
      </c>
    </row>
    <row r="52" ht="48" customHeight="1" spans="1:14" x14ac:dyDescent="0.25">
      <c r="A52" s="4" t="s">
        <v>246</v>
      </c>
      <c r="B52" s="4" t="s">
        <v>247</v>
      </c>
      <c r="C52" s="4" t="s">
        <v>40</v>
      </c>
      <c r="D52" s="4" t="s">
        <v>248</v>
      </c>
      <c r="E52" s="4" t="s">
        <v>249</v>
      </c>
      <c r="F52" s="4" t="s">
        <v>250</v>
      </c>
      <c r="G52" s="5" t="s">
        <v>1</v>
      </c>
      <c r="H52" s="5" t="s">
        <v>44</v>
      </c>
      <c r="I52" s="5" t="s">
        <v>1</v>
      </c>
      <c r="J52" s="5" t="s">
        <v>1</v>
      </c>
      <c r="K52" s="5" t="s">
        <v>1</v>
      </c>
      <c r="L52" s="5" t="s">
        <v>1</v>
      </c>
      <c r="M52" s="5" t="s">
        <v>1</v>
      </c>
      <c r="N52" s="5" t="s">
        <v>1</v>
      </c>
    </row>
    <row r="53" ht="48" customHeight="1" spans="1:14" x14ac:dyDescent="0.25">
      <c r="A53" s="4" t="s">
        <v>251</v>
      </c>
      <c r="B53" s="4" t="s">
        <v>247</v>
      </c>
      <c r="C53" s="4" t="s">
        <v>40</v>
      </c>
      <c r="D53" s="4" t="s">
        <v>252</v>
      </c>
      <c r="E53" s="4" t="s">
        <v>253</v>
      </c>
      <c r="F53" s="4" t="s">
        <v>254</v>
      </c>
      <c r="G53" s="6" t="s">
        <v>1</v>
      </c>
      <c r="H53" s="6" t="s">
        <v>44</v>
      </c>
      <c r="I53" s="6" t="s">
        <v>1</v>
      </c>
      <c r="J53" s="6" t="s">
        <v>1</v>
      </c>
      <c r="K53" s="6" t="s">
        <v>1</v>
      </c>
      <c r="L53" s="6" t="s">
        <v>1</v>
      </c>
      <c r="M53" s="6" t="s">
        <v>1</v>
      </c>
      <c r="N53" s="6" t="s">
        <v>1</v>
      </c>
    </row>
    <row r="54" ht="48" customHeight="1" spans="1:14" x14ac:dyDescent="0.25">
      <c r="A54" s="4" t="s">
        <v>255</v>
      </c>
      <c r="B54" s="4" t="s">
        <v>247</v>
      </c>
      <c r="C54" s="4" t="s">
        <v>40</v>
      </c>
      <c r="D54" s="4" t="s">
        <v>256</v>
      </c>
      <c r="E54" s="4" t="s">
        <v>257</v>
      </c>
      <c r="F54" s="4" t="s">
        <v>258</v>
      </c>
      <c r="G54" s="5" t="s">
        <v>1</v>
      </c>
      <c r="H54" s="5" t="s">
        <v>44</v>
      </c>
      <c r="I54" s="5" t="s">
        <v>1</v>
      </c>
      <c r="J54" s="5" t="s">
        <v>1</v>
      </c>
      <c r="K54" s="5" t="s">
        <v>1</v>
      </c>
      <c r="L54" s="5" t="s">
        <v>1</v>
      </c>
      <c r="M54" s="5" t="s">
        <v>1</v>
      </c>
      <c r="N54" s="5" t="s">
        <v>1</v>
      </c>
    </row>
    <row r="55" ht="48" customHeight="1" spans="1:14" x14ac:dyDescent="0.25">
      <c r="A55" s="4" t="s">
        <v>259</v>
      </c>
      <c r="B55" s="4" t="s">
        <v>247</v>
      </c>
      <c r="C55" s="4" t="s">
        <v>40</v>
      </c>
      <c r="D55" s="4" t="s">
        <v>260</v>
      </c>
      <c r="E55" s="4" t="s">
        <v>261</v>
      </c>
      <c r="F55" s="4" t="s">
        <v>262</v>
      </c>
      <c r="G55" s="6" t="s">
        <v>1</v>
      </c>
      <c r="H55" s="6" t="s">
        <v>44</v>
      </c>
      <c r="I55" s="6" t="s">
        <v>1</v>
      </c>
      <c r="J55" s="6" t="s">
        <v>1</v>
      </c>
      <c r="K55" s="6" t="s">
        <v>1</v>
      </c>
      <c r="L55" s="6" t="s">
        <v>1</v>
      </c>
      <c r="M55" s="6" t="s">
        <v>1</v>
      </c>
      <c r="N55" s="6" t="s">
        <v>1</v>
      </c>
    </row>
    <row r="56" ht="48" customHeight="1" spans="1:14" x14ac:dyDescent="0.25">
      <c r="A56" s="4" t="s">
        <v>263</v>
      </c>
      <c r="B56" s="4" t="s">
        <v>247</v>
      </c>
      <c r="C56" s="4" t="s">
        <v>46</v>
      </c>
      <c r="D56" s="4" t="s">
        <v>264</v>
      </c>
      <c r="E56" s="4" t="s">
        <v>265</v>
      </c>
      <c r="F56" s="4" t="s">
        <v>266</v>
      </c>
      <c r="G56" s="5" t="s">
        <v>1</v>
      </c>
      <c r="H56" s="5" t="s">
        <v>44</v>
      </c>
      <c r="I56" s="5" t="s">
        <v>1</v>
      </c>
      <c r="J56" s="5" t="s">
        <v>1</v>
      </c>
      <c r="K56" s="5" t="s">
        <v>1</v>
      </c>
      <c r="L56" s="5" t="s">
        <v>1</v>
      </c>
      <c r="M56" s="5" t="s">
        <v>1</v>
      </c>
      <c r="N56" s="5" t="s">
        <v>1</v>
      </c>
    </row>
    <row r="57" ht="48" customHeight="1" spans="1:14" x14ac:dyDescent="0.25">
      <c r="A57" s="4" t="s">
        <v>267</v>
      </c>
      <c r="B57" s="4" t="s">
        <v>247</v>
      </c>
      <c r="C57" s="4" t="s">
        <v>46</v>
      </c>
      <c r="D57" s="4" t="s">
        <v>268</v>
      </c>
      <c r="E57" s="4" t="s">
        <v>269</v>
      </c>
      <c r="F57" s="4" t="s">
        <v>270</v>
      </c>
      <c r="G57" s="6" t="s">
        <v>1</v>
      </c>
      <c r="H57" s="6" t="s">
        <v>44</v>
      </c>
      <c r="I57" s="6" t="s">
        <v>1</v>
      </c>
      <c r="J57" s="6" t="s">
        <v>1</v>
      </c>
      <c r="K57" s="6" t="s">
        <v>1</v>
      </c>
      <c r="L57" s="6" t="s">
        <v>1</v>
      </c>
      <c r="M57" s="6" t="s">
        <v>1</v>
      </c>
      <c r="N57" s="6" t="s">
        <v>1</v>
      </c>
    </row>
    <row r="58" ht="48" customHeight="1" spans="1:14" x14ac:dyDescent="0.25">
      <c r="A58" s="4" t="s">
        <v>271</v>
      </c>
      <c r="B58" s="4" t="s">
        <v>272</v>
      </c>
      <c r="C58" s="4" t="s">
        <v>40</v>
      </c>
      <c r="D58" s="4" t="s">
        <v>273</v>
      </c>
      <c r="E58" s="4" t="s">
        <v>274</v>
      </c>
      <c r="F58" s="4" t="s">
        <v>275</v>
      </c>
      <c r="G58" s="5" t="s">
        <v>1</v>
      </c>
      <c r="H58" s="5" t="s">
        <v>44</v>
      </c>
      <c r="I58" s="5" t="s">
        <v>1</v>
      </c>
      <c r="J58" s="5" t="s">
        <v>1</v>
      </c>
      <c r="K58" s="5" t="s">
        <v>1</v>
      </c>
      <c r="L58" s="5" t="s">
        <v>1</v>
      </c>
      <c r="M58" s="5" t="s">
        <v>1</v>
      </c>
      <c r="N58" s="5" t="s">
        <v>1</v>
      </c>
    </row>
    <row r="59" ht="48" customHeight="1" spans="1:14" x14ac:dyDescent="0.25">
      <c r="A59" s="4" t="s">
        <v>276</v>
      </c>
      <c r="B59" s="4" t="s">
        <v>272</v>
      </c>
      <c r="C59" s="4" t="s">
        <v>40</v>
      </c>
      <c r="D59" s="4" t="s">
        <v>277</v>
      </c>
      <c r="E59" s="4" t="s">
        <v>278</v>
      </c>
      <c r="F59" s="4" t="s">
        <v>279</v>
      </c>
      <c r="G59" s="6" t="s">
        <v>1</v>
      </c>
      <c r="H59" s="6" t="s">
        <v>44</v>
      </c>
      <c r="I59" s="6" t="s">
        <v>1</v>
      </c>
      <c r="J59" s="6" t="s">
        <v>1</v>
      </c>
      <c r="K59" s="6" t="s">
        <v>1</v>
      </c>
      <c r="L59" s="6" t="s">
        <v>1</v>
      </c>
      <c r="M59" s="6" t="s">
        <v>1</v>
      </c>
      <c r="N59" s="6" t="s">
        <v>1</v>
      </c>
    </row>
    <row r="60" ht="48" customHeight="1" spans="1:14" x14ac:dyDescent="0.25">
      <c r="A60" s="4" t="s">
        <v>280</v>
      </c>
      <c r="B60" s="4" t="s">
        <v>272</v>
      </c>
      <c r="C60" s="4" t="s">
        <v>40</v>
      </c>
      <c r="D60" s="4" t="s">
        <v>281</v>
      </c>
      <c r="E60" s="4" t="s">
        <v>282</v>
      </c>
      <c r="F60" s="4" t="s">
        <v>283</v>
      </c>
      <c r="G60" s="5" t="s">
        <v>1</v>
      </c>
      <c r="H60" s="5" t="s">
        <v>44</v>
      </c>
      <c r="I60" s="5" t="s">
        <v>1</v>
      </c>
      <c r="J60" s="5" t="s">
        <v>1</v>
      </c>
      <c r="K60" s="5" t="s">
        <v>1</v>
      </c>
      <c r="L60" s="5" t="s">
        <v>1</v>
      </c>
      <c r="M60" s="5" t="s">
        <v>1</v>
      </c>
      <c r="N60" s="5" t="s">
        <v>1</v>
      </c>
    </row>
    <row r="61" ht="48" customHeight="1" spans="1:14" x14ac:dyDescent="0.25">
      <c r="A61" s="4" t="s">
        <v>284</v>
      </c>
      <c r="B61" s="4" t="s">
        <v>272</v>
      </c>
      <c r="C61" s="4" t="s">
        <v>40</v>
      </c>
      <c r="D61" s="4" t="s">
        <v>285</v>
      </c>
      <c r="E61" s="4" t="s">
        <v>286</v>
      </c>
      <c r="F61" s="4" t="s">
        <v>287</v>
      </c>
      <c r="G61" s="6" t="s">
        <v>1</v>
      </c>
      <c r="H61" s="6" t="s">
        <v>44</v>
      </c>
      <c r="I61" s="6" t="s">
        <v>1</v>
      </c>
      <c r="J61" s="6" t="s">
        <v>1</v>
      </c>
      <c r="K61" s="6" t="s">
        <v>1</v>
      </c>
      <c r="L61" s="6" t="s">
        <v>1</v>
      </c>
      <c r="M61" s="6" t="s">
        <v>1</v>
      </c>
      <c r="N61" s="6" t="s">
        <v>1</v>
      </c>
    </row>
    <row r="62" ht="48" customHeight="1" spans="1:14" x14ac:dyDescent="0.25">
      <c r="A62" s="4" t="s">
        <v>288</v>
      </c>
      <c r="B62" s="4" t="s">
        <v>272</v>
      </c>
      <c r="C62" s="4" t="s">
        <v>46</v>
      </c>
      <c r="D62" s="4" t="s">
        <v>289</v>
      </c>
      <c r="E62" s="4" t="s">
        <v>290</v>
      </c>
      <c r="F62" s="4" t="s">
        <v>291</v>
      </c>
      <c r="G62" s="5" t="s">
        <v>1</v>
      </c>
      <c r="H62" s="5" t="s">
        <v>44</v>
      </c>
      <c r="I62" s="5" t="s">
        <v>1</v>
      </c>
      <c r="J62" s="5" t="s">
        <v>1</v>
      </c>
      <c r="K62" s="5" t="s">
        <v>1</v>
      </c>
      <c r="L62" s="5" t="s">
        <v>1</v>
      </c>
      <c r="M62" s="5" t="s">
        <v>1</v>
      </c>
      <c r="N62" s="5" t="s">
        <v>1</v>
      </c>
    </row>
    <row r="63" ht="48" customHeight="1" spans="1:14" x14ac:dyDescent="0.25">
      <c r="A63" s="4" t="s">
        <v>292</v>
      </c>
      <c r="B63" s="4" t="s">
        <v>272</v>
      </c>
      <c r="C63" s="4" t="s">
        <v>46</v>
      </c>
      <c r="D63" s="4" t="s">
        <v>293</v>
      </c>
      <c r="E63" s="4" t="s">
        <v>294</v>
      </c>
      <c r="F63" s="4" t="s">
        <v>295</v>
      </c>
      <c r="G63" s="6" t="s">
        <v>1</v>
      </c>
      <c r="H63" s="6" t="s">
        <v>44</v>
      </c>
      <c r="I63" s="6" t="s">
        <v>1</v>
      </c>
      <c r="J63" s="6" t="s">
        <v>1</v>
      </c>
      <c r="K63" s="6" t="s">
        <v>1</v>
      </c>
      <c r="L63" s="6" t="s">
        <v>1</v>
      </c>
      <c r="M63" s="6" t="s">
        <v>1</v>
      </c>
      <c r="N63" s="6" t="s">
        <v>1</v>
      </c>
    </row>
    <row r="64" ht="48" customHeight="1" spans="1:14" x14ac:dyDescent="0.25">
      <c r="A64" s="4" t="s">
        <v>296</v>
      </c>
      <c r="B64" s="4" t="s">
        <v>297</v>
      </c>
      <c r="C64" s="4" t="s">
        <v>40</v>
      </c>
      <c r="D64" s="4" t="s">
        <v>298</v>
      </c>
      <c r="E64" s="4" t="s">
        <v>299</v>
      </c>
      <c r="F64" s="4" t="s">
        <v>300</v>
      </c>
      <c r="G64" s="5" t="s">
        <v>1</v>
      </c>
      <c r="H64" s="5" t="s">
        <v>44</v>
      </c>
      <c r="I64" s="5" t="s">
        <v>1</v>
      </c>
      <c r="J64" s="5" t="s">
        <v>1</v>
      </c>
      <c r="K64" s="5" t="s">
        <v>1</v>
      </c>
      <c r="L64" s="5" t="s">
        <v>1</v>
      </c>
      <c r="M64" s="5" t="s">
        <v>1</v>
      </c>
      <c r="N64" s="5" t="s">
        <v>1</v>
      </c>
    </row>
    <row r="65" ht="48" customHeight="1" spans="1:14" x14ac:dyDescent="0.25">
      <c r="A65" s="4" t="s">
        <v>301</v>
      </c>
      <c r="B65" s="4" t="s">
        <v>297</v>
      </c>
      <c r="C65" s="4" t="s">
        <v>40</v>
      </c>
      <c r="D65" s="4" t="s">
        <v>302</v>
      </c>
      <c r="E65" s="4" t="s">
        <v>303</v>
      </c>
      <c r="F65" s="4" t="s">
        <v>304</v>
      </c>
      <c r="G65" s="6" t="s">
        <v>1</v>
      </c>
      <c r="H65" s="6" t="s">
        <v>44</v>
      </c>
      <c r="I65" s="6" t="s">
        <v>1</v>
      </c>
      <c r="J65" s="6" t="s">
        <v>1</v>
      </c>
      <c r="K65" s="6" t="s">
        <v>1</v>
      </c>
      <c r="L65" s="6" t="s">
        <v>1</v>
      </c>
      <c r="M65" s="6" t="s">
        <v>1</v>
      </c>
      <c r="N65" s="6" t="s">
        <v>1</v>
      </c>
    </row>
    <row r="66" ht="48" customHeight="1" spans="1:14" x14ac:dyDescent="0.25">
      <c r="A66" s="4" t="s">
        <v>305</v>
      </c>
      <c r="B66" s="4" t="s">
        <v>297</v>
      </c>
      <c r="C66" s="4" t="s">
        <v>46</v>
      </c>
      <c r="D66" s="4" t="s">
        <v>306</v>
      </c>
      <c r="E66" s="4" t="s">
        <v>307</v>
      </c>
      <c r="F66" s="4" t="s">
        <v>308</v>
      </c>
      <c r="G66" s="5" t="s">
        <v>1</v>
      </c>
      <c r="H66" s="5" t="s">
        <v>44</v>
      </c>
      <c r="I66" s="5" t="s">
        <v>1</v>
      </c>
      <c r="J66" s="5" t="s">
        <v>1</v>
      </c>
      <c r="K66" s="5" t="s">
        <v>1</v>
      </c>
      <c r="L66" s="5" t="s">
        <v>1</v>
      </c>
      <c r="M66" s="5" t="s">
        <v>1</v>
      </c>
      <c r="N66" s="5" t="s">
        <v>1</v>
      </c>
    </row>
    <row r="67" ht="48" customHeight="1" spans="1:14" x14ac:dyDescent="0.25">
      <c r="A67" s="4" t="s">
        <v>309</v>
      </c>
      <c r="B67" s="4" t="s">
        <v>297</v>
      </c>
      <c r="C67" s="4" t="s">
        <v>46</v>
      </c>
      <c r="D67" s="4" t="s">
        <v>310</v>
      </c>
      <c r="E67" s="4" t="s">
        <v>311</v>
      </c>
      <c r="F67" s="4" t="s">
        <v>295</v>
      </c>
      <c r="G67" s="6" t="s">
        <v>1</v>
      </c>
      <c r="H67" s="6" t="s">
        <v>44</v>
      </c>
      <c r="I67" s="6" t="s">
        <v>1</v>
      </c>
      <c r="J67" s="6" t="s">
        <v>1</v>
      </c>
      <c r="K67" s="6" t="s">
        <v>1</v>
      </c>
      <c r="L67" s="6" t="s">
        <v>1</v>
      </c>
      <c r="M67" s="6" t="s">
        <v>1</v>
      </c>
      <c r="N67" s="6" t="s">
        <v>1</v>
      </c>
    </row>
    <row r="68" ht="48" customHeight="1" spans="1:14" x14ac:dyDescent="0.25">
      <c r="A68" s="4" t="s">
        <v>312</v>
      </c>
      <c r="B68" s="4" t="s">
        <v>313</v>
      </c>
      <c r="C68" s="4" t="s">
        <v>40</v>
      </c>
      <c r="D68" s="4" t="s">
        <v>314</v>
      </c>
      <c r="E68" s="4" t="s">
        <v>315</v>
      </c>
      <c r="F68" s="4" t="s">
        <v>316</v>
      </c>
      <c r="G68" s="5" t="s">
        <v>1</v>
      </c>
      <c r="H68" s="5" t="s">
        <v>44</v>
      </c>
      <c r="I68" s="5" t="s">
        <v>1</v>
      </c>
      <c r="J68" s="5" t="s">
        <v>1</v>
      </c>
      <c r="K68" s="5" t="s">
        <v>1</v>
      </c>
      <c r="L68" s="5" t="s">
        <v>1</v>
      </c>
      <c r="M68" s="5" t="s">
        <v>1</v>
      </c>
      <c r="N68" s="5" t="s">
        <v>1</v>
      </c>
    </row>
    <row r="69" ht="48" customHeight="1" spans="1:14" x14ac:dyDescent="0.25">
      <c r="A69" s="4" t="s">
        <v>317</v>
      </c>
      <c r="B69" s="4" t="s">
        <v>313</v>
      </c>
      <c r="C69" s="4" t="s">
        <v>46</v>
      </c>
      <c r="D69" s="4" t="s">
        <v>318</v>
      </c>
      <c r="E69" s="4" t="s">
        <v>319</v>
      </c>
      <c r="F69" s="4" t="s">
        <v>320</v>
      </c>
      <c r="G69" s="6" t="s">
        <v>1</v>
      </c>
      <c r="H69" s="6" t="s">
        <v>44</v>
      </c>
      <c r="I69" s="6" t="s">
        <v>1</v>
      </c>
      <c r="J69" s="6" t="s">
        <v>1</v>
      </c>
      <c r="K69" s="6" t="s">
        <v>1</v>
      </c>
      <c r="L69" s="6" t="s">
        <v>1</v>
      </c>
      <c r="M69" s="6" t="s">
        <v>1</v>
      </c>
      <c r="N69" s="6" t="s">
        <v>1</v>
      </c>
    </row>
    <row r="70" ht="48" customHeight="1" spans="1:14" x14ac:dyDescent="0.25">
      <c r="A70" s="4" t="s">
        <v>321</v>
      </c>
      <c r="B70" s="4" t="s">
        <v>313</v>
      </c>
      <c r="C70" s="4" t="s">
        <v>46</v>
      </c>
      <c r="D70" s="4" t="s">
        <v>322</v>
      </c>
      <c r="E70" s="4" t="s">
        <v>323</v>
      </c>
      <c r="F70" s="4" t="s">
        <v>324</v>
      </c>
      <c r="G70" s="5" t="s">
        <v>1</v>
      </c>
      <c r="H70" s="5" t="s">
        <v>44</v>
      </c>
      <c r="I70" s="5" t="s">
        <v>1</v>
      </c>
      <c r="J70" s="5" t="s">
        <v>1</v>
      </c>
      <c r="K70" s="5" t="s">
        <v>1</v>
      </c>
      <c r="L70" s="5" t="s">
        <v>1</v>
      </c>
      <c r="M70" s="5" t="s">
        <v>1</v>
      </c>
      <c r="N70" s="5" t="s">
        <v>1</v>
      </c>
    </row>
    <row r="71" ht="48" customHeight="1" spans="1:14" x14ac:dyDescent="0.25">
      <c r="A71" s="4" t="s">
        <v>325</v>
      </c>
      <c r="B71" s="4" t="s">
        <v>313</v>
      </c>
      <c r="C71" s="4" t="s">
        <v>46</v>
      </c>
      <c r="D71" s="4" t="s">
        <v>326</v>
      </c>
      <c r="E71" s="4" t="s">
        <v>327</v>
      </c>
      <c r="F71" s="4" t="s">
        <v>328</v>
      </c>
      <c r="G71" s="6" t="s">
        <v>1</v>
      </c>
      <c r="H71" s="6" t="s">
        <v>44</v>
      </c>
      <c r="I71" s="6" t="s">
        <v>1</v>
      </c>
      <c r="J71" s="6" t="s">
        <v>1</v>
      </c>
      <c r="K71" s="6" t="s">
        <v>1</v>
      </c>
      <c r="L71" s="6" t="s">
        <v>1</v>
      </c>
      <c r="M71" s="6" t="s">
        <v>1</v>
      </c>
      <c r="N71" s="6" t="s">
        <v>1</v>
      </c>
    </row>
    <row r="72" ht="48" customHeight="1" spans="1:14" x14ac:dyDescent="0.25">
      <c r="A72" s="4" t="s">
        <v>329</v>
      </c>
      <c r="B72" s="4" t="s">
        <v>330</v>
      </c>
      <c r="C72" s="4" t="s">
        <v>40</v>
      </c>
      <c r="D72" s="4" t="s">
        <v>331</v>
      </c>
      <c r="E72" s="4" t="s">
        <v>332</v>
      </c>
      <c r="F72" s="4" t="s">
        <v>333</v>
      </c>
      <c r="G72" s="5" t="s">
        <v>1</v>
      </c>
      <c r="H72" s="5" t="s">
        <v>44</v>
      </c>
      <c r="I72" s="5" t="s">
        <v>1</v>
      </c>
      <c r="J72" s="5" t="s">
        <v>1</v>
      </c>
      <c r="K72" s="5" t="s">
        <v>1</v>
      </c>
      <c r="L72" s="5" t="s">
        <v>1</v>
      </c>
      <c r="M72" s="5" t="s">
        <v>1</v>
      </c>
      <c r="N72" s="5" t="s">
        <v>1</v>
      </c>
    </row>
    <row r="73" ht="48" customHeight="1" spans="1:14" x14ac:dyDescent="0.25">
      <c r="A73" s="4" t="s">
        <v>334</v>
      </c>
      <c r="B73" s="4" t="s">
        <v>330</v>
      </c>
      <c r="C73" s="4" t="s">
        <v>46</v>
      </c>
      <c r="D73" s="4" t="s">
        <v>293</v>
      </c>
      <c r="E73" s="4" t="s">
        <v>335</v>
      </c>
      <c r="F73" s="4" t="s">
        <v>336</v>
      </c>
      <c r="G73" s="6" t="s">
        <v>1</v>
      </c>
      <c r="H73" s="6" t="s">
        <v>44</v>
      </c>
      <c r="I73" s="6" t="s">
        <v>1</v>
      </c>
      <c r="J73" s="6" t="s">
        <v>1</v>
      </c>
      <c r="K73" s="6" t="s">
        <v>1</v>
      </c>
      <c r="L73" s="6" t="s">
        <v>1</v>
      </c>
      <c r="M73" s="6" t="s">
        <v>1</v>
      </c>
      <c r="N73" s="6" t="s">
        <v>1</v>
      </c>
    </row>
    <row r="74" ht="48" customHeight="1" spans="1:14" x14ac:dyDescent="0.25">
      <c r="A74" s="4" t="s">
        <v>337</v>
      </c>
      <c r="B74" s="4" t="s">
        <v>330</v>
      </c>
      <c r="C74" s="4" t="s">
        <v>46</v>
      </c>
      <c r="D74" s="4" t="s">
        <v>338</v>
      </c>
      <c r="E74" s="4" t="s">
        <v>339</v>
      </c>
      <c r="F74" s="4" t="s">
        <v>295</v>
      </c>
      <c r="G74" s="5" t="s">
        <v>1</v>
      </c>
      <c r="H74" s="5" t="s">
        <v>44</v>
      </c>
      <c r="I74" s="5" t="s">
        <v>1</v>
      </c>
      <c r="J74" s="5" t="s">
        <v>1</v>
      </c>
      <c r="K74" s="5" t="s">
        <v>1</v>
      </c>
      <c r="L74" s="5" t="s">
        <v>1</v>
      </c>
      <c r="M74" s="5" t="s">
        <v>1</v>
      </c>
      <c r="N74" s="5" t="s">
        <v>1</v>
      </c>
    </row>
    <row r="75" ht="48" customHeight="1" spans="1:14" x14ac:dyDescent="0.25">
      <c r="A75" s="4" t="s">
        <v>340</v>
      </c>
      <c r="B75" s="4" t="s">
        <v>330</v>
      </c>
      <c r="C75" s="4" t="s">
        <v>46</v>
      </c>
      <c r="D75" s="4" t="s">
        <v>341</v>
      </c>
      <c r="E75" s="4" t="s">
        <v>342</v>
      </c>
      <c r="F75" s="4" t="s">
        <v>343</v>
      </c>
      <c r="G75" s="6" t="s">
        <v>1</v>
      </c>
      <c r="H75" s="6" t="s">
        <v>44</v>
      </c>
      <c r="I75" s="6" t="s">
        <v>1</v>
      </c>
      <c r="J75" s="6" t="s">
        <v>1</v>
      </c>
      <c r="K75" s="6" t="s">
        <v>1</v>
      </c>
      <c r="L75" s="6" t="s">
        <v>1</v>
      </c>
      <c r="M75" s="6" t="s">
        <v>1</v>
      </c>
      <c r="N75" s="6" t="s">
        <v>1</v>
      </c>
    </row>
    <row r="76" ht="48" customHeight="1" spans="1:14" x14ac:dyDescent="0.25">
      <c r="A76" s="4" t="s">
        <v>344</v>
      </c>
      <c r="B76" s="4" t="s">
        <v>345</v>
      </c>
      <c r="C76" s="4" t="s">
        <v>40</v>
      </c>
      <c r="D76" s="4" t="s">
        <v>346</v>
      </c>
      <c r="E76" s="4" t="s">
        <v>347</v>
      </c>
      <c r="F76" s="4" t="s">
        <v>348</v>
      </c>
      <c r="G76" s="5" t="s">
        <v>1</v>
      </c>
      <c r="H76" s="5" t="s">
        <v>44</v>
      </c>
      <c r="I76" s="5" t="s">
        <v>1</v>
      </c>
      <c r="J76" s="5" t="s">
        <v>1</v>
      </c>
      <c r="K76" s="5" t="s">
        <v>1</v>
      </c>
      <c r="L76" s="5" t="s">
        <v>1</v>
      </c>
      <c r="M76" s="5" t="s">
        <v>1</v>
      </c>
      <c r="N76" s="5" t="s">
        <v>1</v>
      </c>
    </row>
    <row r="77" ht="48" customHeight="1" spans="1:14" x14ac:dyDescent="0.25">
      <c r="A77" s="4" t="s">
        <v>349</v>
      </c>
      <c r="B77" s="4" t="s">
        <v>345</v>
      </c>
      <c r="C77" s="4" t="s">
        <v>40</v>
      </c>
      <c r="D77" s="4" t="s">
        <v>350</v>
      </c>
      <c r="E77" s="4" t="s">
        <v>351</v>
      </c>
      <c r="F77" s="4" t="s">
        <v>352</v>
      </c>
      <c r="G77" s="6" t="s">
        <v>1</v>
      </c>
      <c r="H77" s="6" t="s">
        <v>44</v>
      </c>
      <c r="I77" s="6" t="s">
        <v>1</v>
      </c>
      <c r="J77" s="6" t="s">
        <v>1</v>
      </c>
      <c r="K77" s="6" t="s">
        <v>1</v>
      </c>
      <c r="L77" s="6" t="s">
        <v>1</v>
      </c>
      <c r="M77" s="6" t="s">
        <v>1</v>
      </c>
      <c r="N77" s="6" t="s">
        <v>1</v>
      </c>
    </row>
    <row r="78" ht="48" customHeight="1" spans="1:14" x14ac:dyDescent="0.25">
      <c r="A78" s="4" t="s">
        <v>353</v>
      </c>
      <c r="B78" s="4" t="s">
        <v>345</v>
      </c>
      <c r="C78" s="4" t="s">
        <v>40</v>
      </c>
      <c r="D78" s="4" t="s">
        <v>354</v>
      </c>
      <c r="E78" s="4" t="s">
        <v>355</v>
      </c>
      <c r="F78" s="4" t="s">
        <v>356</v>
      </c>
      <c r="G78" s="5" t="s">
        <v>1</v>
      </c>
      <c r="H78" s="5" t="s">
        <v>44</v>
      </c>
      <c r="I78" s="5" t="s">
        <v>1</v>
      </c>
      <c r="J78" s="5" t="s">
        <v>1</v>
      </c>
      <c r="K78" s="5" t="s">
        <v>1</v>
      </c>
      <c r="L78" s="5" t="s">
        <v>1</v>
      </c>
      <c r="M78" s="5" t="s">
        <v>1</v>
      </c>
      <c r="N78" s="5" t="s">
        <v>1</v>
      </c>
    </row>
    <row r="79" ht="48" customHeight="1" spans="1:14" x14ac:dyDescent="0.25">
      <c r="A79" s="4" t="s">
        <v>357</v>
      </c>
      <c r="B79" s="4" t="s">
        <v>345</v>
      </c>
      <c r="C79" s="4" t="s">
        <v>46</v>
      </c>
      <c r="D79" s="4" t="s">
        <v>358</v>
      </c>
      <c r="E79" s="4" t="s">
        <v>359</v>
      </c>
      <c r="F79" s="4" t="s">
        <v>360</v>
      </c>
      <c r="G79" s="6" t="s">
        <v>1</v>
      </c>
      <c r="H79" s="6" t="s">
        <v>44</v>
      </c>
      <c r="I79" s="6" t="s">
        <v>1</v>
      </c>
      <c r="J79" s="6" t="s">
        <v>1</v>
      </c>
      <c r="K79" s="6" t="s">
        <v>1</v>
      </c>
      <c r="L79" s="6" t="s">
        <v>1</v>
      </c>
      <c r="M79" s="6" t="s">
        <v>1</v>
      </c>
      <c r="N79" s="6" t="s">
        <v>1</v>
      </c>
    </row>
    <row r="80" ht="48" customHeight="1" spans="1:14" x14ac:dyDescent="0.25">
      <c r="A80" s="4" t="s">
        <v>361</v>
      </c>
      <c r="B80" s="4" t="s">
        <v>362</v>
      </c>
      <c r="C80" s="4" t="s">
        <v>40</v>
      </c>
      <c r="D80" s="4" t="s">
        <v>363</v>
      </c>
      <c r="E80" s="4" t="s">
        <v>364</v>
      </c>
      <c r="F80" s="4" t="s">
        <v>365</v>
      </c>
      <c r="G80" s="5" t="s">
        <v>1</v>
      </c>
      <c r="H80" s="5" t="s">
        <v>44</v>
      </c>
      <c r="I80" s="5" t="s">
        <v>1</v>
      </c>
      <c r="J80" s="5" t="s">
        <v>1</v>
      </c>
      <c r="K80" s="5" t="s">
        <v>1</v>
      </c>
      <c r="L80" s="5" t="s">
        <v>1</v>
      </c>
      <c r="M80" s="5" t="s">
        <v>1</v>
      </c>
      <c r="N80" s="5" t="s">
        <v>1</v>
      </c>
    </row>
    <row r="81" ht="48" customHeight="1" spans="1:14" x14ac:dyDescent="0.25">
      <c r="A81" s="4" t="s">
        <v>366</v>
      </c>
      <c r="B81" s="4" t="s">
        <v>362</v>
      </c>
      <c r="C81" s="4" t="s">
        <v>40</v>
      </c>
      <c r="D81" s="4" t="s">
        <v>367</v>
      </c>
      <c r="E81" s="4" t="s">
        <v>368</v>
      </c>
      <c r="F81" s="4" t="s">
        <v>369</v>
      </c>
      <c r="G81" s="6" t="s">
        <v>1</v>
      </c>
      <c r="H81" s="6" t="s">
        <v>44</v>
      </c>
      <c r="I81" s="6" t="s">
        <v>1</v>
      </c>
      <c r="J81" s="6" t="s">
        <v>1</v>
      </c>
      <c r="K81" s="6" t="s">
        <v>1</v>
      </c>
      <c r="L81" s="6" t="s">
        <v>1</v>
      </c>
      <c r="M81" s="6" t="s">
        <v>1</v>
      </c>
      <c r="N81" s="6" t="s">
        <v>1</v>
      </c>
    </row>
    <row r="82" ht="48" customHeight="1" spans="1:14" x14ac:dyDescent="0.25">
      <c r="A82" s="4" t="s">
        <v>370</v>
      </c>
      <c r="B82" s="4" t="s">
        <v>362</v>
      </c>
      <c r="C82" s="4" t="s">
        <v>40</v>
      </c>
      <c r="D82" s="4" t="s">
        <v>371</v>
      </c>
      <c r="E82" s="4" t="s">
        <v>372</v>
      </c>
      <c r="F82" s="4" t="s">
        <v>373</v>
      </c>
      <c r="G82" s="5" t="s">
        <v>1</v>
      </c>
      <c r="H82" s="5" t="s">
        <v>44</v>
      </c>
      <c r="I82" s="5" t="s">
        <v>1</v>
      </c>
      <c r="J82" s="5" t="s">
        <v>1</v>
      </c>
      <c r="K82" s="5" t="s">
        <v>1</v>
      </c>
      <c r="L82" s="5" t="s">
        <v>1</v>
      </c>
      <c r="M82" s="5" t="s">
        <v>1</v>
      </c>
      <c r="N82" s="5" t="s">
        <v>1</v>
      </c>
    </row>
    <row r="83" ht="48" customHeight="1" spans="1:14" x14ac:dyDescent="0.25">
      <c r="A83" s="4" t="s">
        <v>374</v>
      </c>
      <c r="B83" s="4" t="s">
        <v>362</v>
      </c>
      <c r="C83" s="4" t="s">
        <v>46</v>
      </c>
      <c r="D83" s="4" t="s">
        <v>375</v>
      </c>
      <c r="E83" s="4" t="s">
        <v>376</v>
      </c>
      <c r="F83" s="4" t="s">
        <v>377</v>
      </c>
      <c r="G83" s="6" t="s">
        <v>1</v>
      </c>
      <c r="H83" s="6" t="s">
        <v>44</v>
      </c>
      <c r="I83" s="6" t="s">
        <v>1</v>
      </c>
      <c r="J83" s="6" t="s">
        <v>1</v>
      </c>
      <c r="K83" s="6" t="s">
        <v>1</v>
      </c>
      <c r="L83" s="6" t="s">
        <v>1</v>
      </c>
      <c r="M83" s="6" t="s">
        <v>1</v>
      </c>
      <c r="N83" s="6" t="s">
        <v>1</v>
      </c>
    </row>
    <row r="84" ht="48" customHeight="1" spans="1:14" x14ac:dyDescent="0.25">
      <c r="A84" s="4" t="s">
        <v>378</v>
      </c>
      <c r="B84" s="4" t="s">
        <v>362</v>
      </c>
      <c r="C84" s="4" t="s">
        <v>40</v>
      </c>
      <c r="D84" s="4" t="s">
        <v>379</v>
      </c>
      <c r="E84" s="4" t="s">
        <v>380</v>
      </c>
      <c r="F84" s="4" t="s">
        <v>381</v>
      </c>
      <c r="G84" s="5" t="s">
        <v>1</v>
      </c>
      <c r="H84" s="5" t="s">
        <v>44</v>
      </c>
      <c r="I84" s="5" t="s">
        <v>1</v>
      </c>
      <c r="J84" s="5" t="s">
        <v>1</v>
      </c>
      <c r="K84" s="5" t="s">
        <v>1</v>
      </c>
      <c r="L84" s="5" t="s">
        <v>1</v>
      </c>
      <c r="M84" s="5" t="s">
        <v>1</v>
      </c>
      <c r="N84" s="5" t="s">
        <v>1</v>
      </c>
    </row>
    <row r="85" ht="48" customHeight="1" spans="1:14" x14ac:dyDescent="0.25">
      <c r="A85" s="4" t="s">
        <v>382</v>
      </c>
      <c r="B85" s="4" t="s">
        <v>362</v>
      </c>
      <c r="C85" s="4" t="s">
        <v>40</v>
      </c>
      <c r="D85" s="4" t="s">
        <v>383</v>
      </c>
      <c r="E85" s="4" t="s">
        <v>384</v>
      </c>
      <c r="F85" s="4" t="s">
        <v>385</v>
      </c>
      <c r="G85" s="6" t="s">
        <v>1</v>
      </c>
      <c r="H85" s="6" t="s">
        <v>44</v>
      </c>
      <c r="I85" s="6" t="s">
        <v>1</v>
      </c>
      <c r="J85" s="6" t="s">
        <v>1</v>
      </c>
      <c r="K85" s="6" t="s">
        <v>1</v>
      </c>
      <c r="L85" s="6" t="s">
        <v>1</v>
      </c>
      <c r="M85" s="6" t="s">
        <v>1</v>
      </c>
      <c r="N85" s="6" t="s">
        <v>1</v>
      </c>
    </row>
    <row r="86" ht="48" customHeight="1" spans="1:14" x14ac:dyDescent="0.25">
      <c r="A86" s="4" t="s">
        <v>386</v>
      </c>
      <c r="B86" s="4" t="s">
        <v>362</v>
      </c>
      <c r="C86" s="4" t="s">
        <v>46</v>
      </c>
      <c r="D86" s="4" t="s">
        <v>387</v>
      </c>
      <c r="E86" s="4" t="s">
        <v>388</v>
      </c>
      <c r="F86" s="4" t="s">
        <v>389</v>
      </c>
      <c r="G86" s="5" t="s">
        <v>1</v>
      </c>
      <c r="H86" s="5" t="s">
        <v>44</v>
      </c>
      <c r="I86" s="5" t="s">
        <v>1</v>
      </c>
      <c r="J86" s="5" t="s">
        <v>1</v>
      </c>
      <c r="K86" s="5" t="s">
        <v>1</v>
      </c>
      <c r="L86" s="5" t="s">
        <v>1</v>
      </c>
      <c r="M86" s="5" t="s">
        <v>1</v>
      </c>
      <c r="N86" s="5" t="s">
        <v>1</v>
      </c>
    </row>
    <row r="87" ht="48" customHeight="1" spans="1:14" x14ac:dyDescent="0.25">
      <c r="A87" s="4" t="s">
        <v>390</v>
      </c>
      <c r="B87" s="4" t="s">
        <v>362</v>
      </c>
      <c r="C87" s="4" t="s">
        <v>46</v>
      </c>
      <c r="D87" s="4" t="s">
        <v>391</v>
      </c>
      <c r="E87" s="4" t="s">
        <v>392</v>
      </c>
      <c r="F87" s="4" t="s">
        <v>393</v>
      </c>
      <c r="G87" s="6" t="s">
        <v>1</v>
      </c>
      <c r="H87" s="6" t="s">
        <v>44</v>
      </c>
      <c r="I87" s="6" t="s">
        <v>1</v>
      </c>
      <c r="J87" s="6" t="s">
        <v>1</v>
      </c>
      <c r="K87" s="6" t="s">
        <v>1</v>
      </c>
      <c r="L87" s="6" t="s">
        <v>1</v>
      </c>
      <c r="M87" s="6" t="s">
        <v>1</v>
      </c>
      <c r="N87" s="6" t="s">
        <v>1</v>
      </c>
    </row>
    <row r="88" ht="48" customHeight="1" spans="1:14" x14ac:dyDescent="0.25">
      <c r="A88" s="4" t="s">
        <v>394</v>
      </c>
      <c r="B88" s="4" t="s">
        <v>395</v>
      </c>
      <c r="C88" s="4" t="s">
        <v>40</v>
      </c>
      <c r="D88" s="4" t="s">
        <v>396</v>
      </c>
      <c r="E88" s="4" t="s">
        <v>397</v>
      </c>
      <c r="F88" s="4" t="s">
        <v>398</v>
      </c>
      <c r="G88" s="5" t="s">
        <v>1</v>
      </c>
      <c r="H88" s="5" t="s">
        <v>44</v>
      </c>
      <c r="I88" s="5" t="s">
        <v>1</v>
      </c>
      <c r="J88" s="5" t="s">
        <v>1</v>
      </c>
      <c r="K88" s="5" t="s">
        <v>1</v>
      </c>
      <c r="L88" s="5" t="s">
        <v>1</v>
      </c>
      <c r="M88" s="5" t="s">
        <v>1</v>
      </c>
      <c r="N88" s="5" t="s">
        <v>1</v>
      </c>
    </row>
    <row r="89" ht="48" customHeight="1" spans="1:14" x14ac:dyDescent="0.25">
      <c r="A89" s="4" t="s">
        <v>399</v>
      </c>
      <c r="B89" s="4" t="s">
        <v>395</v>
      </c>
      <c r="C89" s="4" t="s">
        <v>40</v>
      </c>
      <c r="D89" s="4" t="s">
        <v>400</v>
      </c>
      <c r="E89" s="4" t="s">
        <v>401</v>
      </c>
      <c r="F89" s="4" t="s">
        <v>402</v>
      </c>
      <c r="G89" s="6" t="s">
        <v>1</v>
      </c>
      <c r="H89" s="6" t="s">
        <v>44</v>
      </c>
      <c r="I89" s="6" t="s">
        <v>1</v>
      </c>
      <c r="J89" s="6" t="s">
        <v>1</v>
      </c>
      <c r="K89" s="6" t="s">
        <v>1</v>
      </c>
      <c r="L89" s="6" t="s">
        <v>1</v>
      </c>
      <c r="M89" s="6" t="s">
        <v>1</v>
      </c>
      <c r="N89" s="6" t="s">
        <v>1</v>
      </c>
    </row>
    <row r="90" ht="48" customHeight="1" spans="1:14" x14ac:dyDescent="0.25">
      <c r="A90" s="4" t="s">
        <v>403</v>
      </c>
      <c r="B90" s="4" t="s">
        <v>395</v>
      </c>
      <c r="C90" s="4" t="s">
        <v>46</v>
      </c>
      <c r="D90" s="4" t="s">
        <v>404</v>
      </c>
      <c r="E90" s="4" t="s">
        <v>405</v>
      </c>
      <c r="F90" s="4" t="s">
        <v>406</v>
      </c>
      <c r="G90" s="5" t="s">
        <v>1</v>
      </c>
      <c r="H90" s="5" t="s">
        <v>44</v>
      </c>
      <c r="I90" s="5" t="s">
        <v>1</v>
      </c>
      <c r="J90" s="5" t="s">
        <v>1</v>
      </c>
      <c r="K90" s="5" t="s">
        <v>1</v>
      </c>
      <c r="L90" s="5" t="s">
        <v>1</v>
      </c>
      <c r="M90" s="5" t="s">
        <v>1</v>
      </c>
      <c r="N90" s="5" t="s">
        <v>1</v>
      </c>
    </row>
    <row r="91" ht="48" customHeight="1" spans="1:14" x14ac:dyDescent="0.25">
      <c r="A91" s="4" t="s">
        <v>407</v>
      </c>
      <c r="B91" s="4" t="s">
        <v>395</v>
      </c>
      <c r="C91" s="4" t="s">
        <v>46</v>
      </c>
      <c r="D91" s="4" t="s">
        <v>408</v>
      </c>
      <c r="E91" s="4" t="s">
        <v>409</v>
      </c>
      <c r="F91" s="4" t="s">
        <v>410</v>
      </c>
      <c r="G91" s="6" t="s">
        <v>1</v>
      </c>
      <c r="H91" s="6" t="s">
        <v>44</v>
      </c>
      <c r="I91" s="6" t="s">
        <v>1</v>
      </c>
      <c r="J91" s="6" t="s">
        <v>1</v>
      </c>
      <c r="K91" s="6" t="s">
        <v>1</v>
      </c>
      <c r="L91" s="6" t="s">
        <v>1</v>
      </c>
      <c r="M91" s="6" t="s">
        <v>1</v>
      </c>
      <c r="N91" s="6" t="s">
        <v>1</v>
      </c>
    </row>
    <row r="92" ht="48" customHeight="1" spans="1:14" x14ac:dyDescent="0.25">
      <c r="A92" s="4" t="s">
        <v>411</v>
      </c>
      <c r="B92" s="4" t="s">
        <v>395</v>
      </c>
      <c r="C92" s="4" t="s">
        <v>40</v>
      </c>
      <c r="D92" s="4" t="s">
        <v>412</v>
      </c>
      <c r="E92" s="4" t="s">
        <v>413</v>
      </c>
      <c r="F92" s="4" t="s">
        <v>414</v>
      </c>
      <c r="G92" s="5" t="s">
        <v>1</v>
      </c>
      <c r="H92" s="5" t="s">
        <v>44</v>
      </c>
      <c r="I92" s="5" t="s">
        <v>1</v>
      </c>
      <c r="J92" s="5" t="s">
        <v>1</v>
      </c>
      <c r="K92" s="5" t="s">
        <v>1</v>
      </c>
      <c r="L92" s="5" t="s">
        <v>1</v>
      </c>
      <c r="M92" s="5" t="s">
        <v>1</v>
      </c>
      <c r="N92" s="5" t="s">
        <v>1</v>
      </c>
    </row>
    <row r="93" ht="48" customHeight="1" spans="1:14" x14ac:dyDescent="0.25">
      <c r="A93" s="4" t="s">
        <v>415</v>
      </c>
      <c r="B93" s="4" t="s">
        <v>395</v>
      </c>
      <c r="C93" s="4" t="s">
        <v>40</v>
      </c>
      <c r="D93" s="4" t="s">
        <v>416</v>
      </c>
      <c r="E93" s="4" t="s">
        <v>417</v>
      </c>
      <c r="F93" s="4" t="s">
        <v>418</v>
      </c>
      <c r="G93" s="6" t="s">
        <v>1</v>
      </c>
      <c r="H93" s="6" t="s">
        <v>44</v>
      </c>
      <c r="I93" s="6" t="s">
        <v>1</v>
      </c>
      <c r="J93" s="6" t="s">
        <v>1</v>
      </c>
      <c r="K93" s="6" t="s">
        <v>1</v>
      </c>
      <c r="L93" s="6" t="s">
        <v>1</v>
      </c>
      <c r="M93" s="6" t="s">
        <v>1</v>
      </c>
      <c r="N93" s="6" t="s">
        <v>1</v>
      </c>
    </row>
    <row r="94" ht="48" customHeight="1" spans="1:14" x14ac:dyDescent="0.25">
      <c r="A94" s="4" t="s">
        <v>419</v>
      </c>
      <c r="B94" s="4" t="s">
        <v>395</v>
      </c>
      <c r="C94" s="4" t="s">
        <v>46</v>
      </c>
      <c r="D94" s="4" t="s">
        <v>420</v>
      </c>
      <c r="E94" s="4" t="s">
        <v>421</v>
      </c>
      <c r="F94" s="4" t="s">
        <v>422</v>
      </c>
      <c r="G94" s="5" t="s">
        <v>1</v>
      </c>
      <c r="H94" s="5" t="s">
        <v>44</v>
      </c>
      <c r="I94" s="5" t="s">
        <v>1</v>
      </c>
      <c r="J94" s="5" t="s">
        <v>1</v>
      </c>
      <c r="K94" s="5" t="s">
        <v>1</v>
      </c>
      <c r="L94" s="5" t="s">
        <v>1</v>
      </c>
      <c r="M94" s="5" t="s">
        <v>1</v>
      </c>
      <c r="N94" s="5" t="s">
        <v>1</v>
      </c>
    </row>
    <row r="95" ht="48" customHeight="1" spans="1:14" x14ac:dyDescent="0.25">
      <c r="A95" s="4" t="s">
        <v>423</v>
      </c>
      <c r="B95" s="4" t="s">
        <v>424</v>
      </c>
      <c r="C95" s="4" t="s">
        <v>40</v>
      </c>
      <c r="D95" s="4" t="s">
        <v>425</v>
      </c>
      <c r="E95" s="4" t="s">
        <v>426</v>
      </c>
      <c r="F95" s="4" t="s">
        <v>427</v>
      </c>
      <c r="G95" s="6" t="s">
        <v>1</v>
      </c>
      <c r="H95" s="6" t="s">
        <v>44</v>
      </c>
      <c r="I95" s="6" t="s">
        <v>1</v>
      </c>
      <c r="J95" s="6" t="s">
        <v>1</v>
      </c>
      <c r="K95" s="6" t="s">
        <v>1</v>
      </c>
      <c r="L95" s="6" t="s">
        <v>1</v>
      </c>
      <c r="M95" s="6" t="s">
        <v>1</v>
      </c>
      <c r="N95" s="6" t="s">
        <v>1</v>
      </c>
    </row>
    <row r="96" ht="48" customHeight="1" spans="1:14" x14ac:dyDescent="0.25">
      <c r="A96" s="4" t="s">
        <v>428</v>
      </c>
      <c r="B96" s="4" t="s">
        <v>424</v>
      </c>
      <c r="C96" s="4" t="s">
        <v>40</v>
      </c>
      <c r="D96" s="4" t="s">
        <v>429</v>
      </c>
      <c r="E96" s="4" t="s">
        <v>430</v>
      </c>
      <c r="F96" s="4" t="s">
        <v>431</v>
      </c>
      <c r="G96" s="5" t="s">
        <v>1</v>
      </c>
      <c r="H96" s="5" t="s">
        <v>44</v>
      </c>
      <c r="I96" s="5" t="s">
        <v>1</v>
      </c>
      <c r="J96" s="5" t="s">
        <v>1</v>
      </c>
      <c r="K96" s="5" t="s">
        <v>1</v>
      </c>
      <c r="L96" s="5" t="s">
        <v>1</v>
      </c>
      <c r="M96" s="5" t="s">
        <v>1</v>
      </c>
      <c r="N96" s="5" t="s">
        <v>1</v>
      </c>
    </row>
    <row r="97" ht="48" customHeight="1" spans="1:14" x14ac:dyDescent="0.25">
      <c r="A97" s="4" t="s">
        <v>432</v>
      </c>
      <c r="B97" s="4" t="s">
        <v>424</v>
      </c>
      <c r="C97" s="4" t="s">
        <v>40</v>
      </c>
      <c r="D97" s="4" t="s">
        <v>433</v>
      </c>
      <c r="E97" s="4" t="s">
        <v>434</v>
      </c>
      <c r="F97" s="4" t="s">
        <v>435</v>
      </c>
      <c r="G97" s="6" t="s">
        <v>1</v>
      </c>
      <c r="H97" s="6" t="s">
        <v>44</v>
      </c>
      <c r="I97" s="6" t="s">
        <v>1</v>
      </c>
      <c r="J97" s="6" t="s">
        <v>1</v>
      </c>
      <c r="K97" s="6" t="s">
        <v>1</v>
      </c>
      <c r="L97" s="6" t="s">
        <v>1</v>
      </c>
      <c r="M97" s="6" t="s">
        <v>1</v>
      </c>
      <c r="N97" s="6" t="s">
        <v>1</v>
      </c>
    </row>
    <row r="98" ht="48" customHeight="1" spans="1:14" x14ac:dyDescent="0.25">
      <c r="A98" s="4" t="s">
        <v>436</v>
      </c>
      <c r="B98" s="4" t="s">
        <v>424</v>
      </c>
      <c r="C98" s="4" t="s">
        <v>40</v>
      </c>
      <c r="D98" s="4" t="s">
        <v>437</v>
      </c>
      <c r="E98" s="4" t="s">
        <v>438</v>
      </c>
      <c r="F98" s="4" t="s">
        <v>439</v>
      </c>
      <c r="G98" s="5" t="s">
        <v>1</v>
      </c>
      <c r="H98" s="5" t="s">
        <v>44</v>
      </c>
      <c r="I98" s="5" t="s">
        <v>1</v>
      </c>
      <c r="J98" s="5" t="s">
        <v>1</v>
      </c>
      <c r="K98" s="5" t="s">
        <v>1</v>
      </c>
      <c r="L98" s="5" t="s">
        <v>1</v>
      </c>
      <c r="M98" s="5" t="s">
        <v>1</v>
      </c>
      <c r="N98" s="5" t="s">
        <v>1</v>
      </c>
    </row>
    <row r="99" ht="48" customHeight="1" spans="1:14" x14ac:dyDescent="0.25">
      <c r="A99" s="4" t="s">
        <v>440</v>
      </c>
      <c r="B99" s="4" t="s">
        <v>424</v>
      </c>
      <c r="C99" s="4" t="s">
        <v>40</v>
      </c>
      <c r="D99" s="4" t="s">
        <v>441</v>
      </c>
      <c r="E99" s="4" t="s">
        <v>442</v>
      </c>
      <c r="F99" s="4" t="s">
        <v>443</v>
      </c>
      <c r="G99" s="6" t="s">
        <v>1</v>
      </c>
      <c r="H99" s="6" t="s">
        <v>44</v>
      </c>
      <c r="I99" s="6" t="s">
        <v>1</v>
      </c>
      <c r="J99" s="6" t="s">
        <v>1</v>
      </c>
      <c r="K99" s="6" t="s">
        <v>1</v>
      </c>
      <c r="L99" s="6" t="s">
        <v>1</v>
      </c>
      <c r="M99" s="6" t="s">
        <v>1</v>
      </c>
      <c r="N99" s="6" t="s">
        <v>1</v>
      </c>
    </row>
    <row r="100" ht="48" customHeight="1" spans="1:14" x14ac:dyDescent="0.25">
      <c r="A100" s="4" t="s">
        <v>444</v>
      </c>
      <c r="B100" s="4" t="s">
        <v>424</v>
      </c>
      <c r="C100" s="4" t="s">
        <v>40</v>
      </c>
      <c r="D100" s="4" t="s">
        <v>445</v>
      </c>
      <c r="E100" s="4" t="s">
        <v>446</v>
      </c>
      <c r="F100" s="4" t="s">
        <v>447</v>
      </c>
      <c r="G100" s="5" t="s">
        <v>1</v>
      </c>
      <c r="H100" s="5" t="s">
        <v>44</v>
      </c>
      <c r="I100" s="5" t="s">
        <v>1</v>
      </c>
      <c r="J100" s="5" t="s">
        <v>1</v>
      </c>
      <c r="K100" s="5" t="s">
        <v>1</v>
      </c>
      <c r="L100" s="5" t="s">
        <v>1</v>
      </c>
      <c r="M100" s="5" t="s">
        <v>1</v>
      </c>
      <c r="N100" s="5" t="s">
        <v>1</v>
      </c>
    </row>
    <row r="101" ht="48" customHeight="1" spans="1:14" x14ac:dyDescent="0.25">
      <c r="A101" s="4" t="s">
        <v>448</v>
      </c>
      <c r="B101" s="4" t="s">
        <v>424</v>
      </c>
      <c r="C101" s="4" t="s">
        <v>46</v>
      </c>
      <c r="D101" s="4" t="s">
        <v>449</v>
      </c>
      <c r="E101" s="4" t="s">
        <v>450</v>
      </c>
      <c r="F101" s="4" t="s">
        <v>451</v>
      </c>
      <c r="G101" s="6" t="s">
        <v>1</v>
      </c>
      <c r="H101" s="6" t="s">
        <v>44</v>
      </c>
      <c r="I101" s="6" t="s">
        <v>1</v>
      </c>
      <c r="J101" s="6" t="s">
        <v>1</v>
      </c>
      <c r="K101" s="6" t="s">
        <v>1</v>
      </c>
      <c r="L101" s="6" t="s">
        <v>1</v>
      </c>
      <c r="M101" s="6" t="s">
        <v>1</v>
      </c>
      <c r="N101" s="6" t="s">
        <v>1</v>
      </c>
    </row>
    <row r="102" ht="48" customHeight="1" spans="1:14" x14ac:dyDescent="0.25">
      <c r="A102" s="4" t="s">
        <v>452</v>
      </c>
      <c r="B102" s="4" t="s">
        <v>424</v>
      </c>
      <c r="C102" s="4" t="s">
        <v>46</v>
      </c>
      <c r="D102" s="4" t="s">
        <v>453</v>
      </c>
      <c r="E102" s="4" t="s">
        <v>454</v>
      </c>
      <c r="F102" s="4" t="s">
        <v>455</v>
      </c>
      <c r="G102" s="5" t="s">
        <v>1</v>
      </c>
      <c r="H102" s="5" t="s">
        <v>44</v>
      </c>
      <c r="I102" s="5" t="s">
        <v>1</v>
      </c>
      <c r="J102" s="5" t="s">
        <v>1</v>
      </c>
      <c r="K102" s="5" t="s">
        <v>1</v>
      </c>
      <c r="L102" s="5" t="s">
        <v>1</v>
      </c>
      <c r="M102" s="5" t="s">
        <v>1</v>
      </c>
      <c r="N102" s="5" t="s">
        <v>1</v>
      </c>
    </row>
    <row r="103" ht="48" customHeight="1" spans="1:14" x14ac:dyDescent="0.25">
      <c r="A103" s="4" t="s">
        <v>456</v>
      </c>
      <c r="B103" s="4" t="s">
        <v>424</v>
      </c>
      <c r="C103" s="4" t="s">
        <v>46</v>
      </c>
      <c r="D103" s="4" t="s">
        <v>457</v>
      </c>
      <c r="E103" s="4" t="s">
        <v>458</v>
      </c>
      <c r="F103" s="4" t="s">
        <v>459</v>
      </c>
      <c r="G103" s="6" t="s">
        <v>1</v>
      </c>
      <c r="H103" s="6" t="s">
        <v>44</v>
      </c>
      <c r="I103" s="6" t="s">
        <v>1</v>
      </c>
      <c r="J103" s="6" t="s">
        <v>1</v>
      </c>
      <c r="K103" s="6" t="s">
        <v>1</v>
      </c>
      <c r="L103" s="6" t="s">
        <v>1</v>
      </c>
      <c r="M103" s="6" t="s">
        <v>1</v>
      </c>
      <c r="N103" s="6" t="s">
        <v>1</v>
      </c>
    </row>
    <row r="104" ht="48" customHeight="1" spans="1:14" x14ac:dyDescent="0.25">
      <c r="A104" s="4" t="s">
        <v>460</v>
      </c>
      <c r="B104" s="4" t="s">
        <v>461</v>
      </c>
      <c r="C104" s="4" t="s">
        <v>40</v>
      </c>
      <c r="D104" s="4" t="s">
        <v>462</v>
      </c>
      <c r="E104" s="4" t="s">
        <v>463</v>
      </c>
      <c r="F104" s="4" t="s">
        <v>464</v>
      </c>
      <c r="G104" s="5" t="s">
        <v>1</v>
      </c>
      <c r="H104" s="5" t="s">
        <v>44</v>
      </c>
      <c r="I104" s="5" t="s">
        <v>1</v>
      </c>
      <c r="J104" s="5" t="s">
        <v>1</v>
      </c>
      <c r="K104" s="5" t="s">
        <v>1</v>
      </c>
      <c r="L104" s="5" t="s">
        <v>1</v>
      </c>
      <c r="M104" s="5" t="s">
        <v>1</v>
      </c>
      <c r="N104" s="5" t="s">
        <v>1</v>
      </c>
    </row>
    <row r="105" ht="48" customHeight="1" spans="1:14" x14ac:dyDescent="0.25">
      <c r="A105" s="4" t="s">
        <v>465</v>
      </c>
      <c r="B105" s="4" t="s">
        <v>461</v>
      </c>
      <c r="C105" s="4" t="s">
        <v>40</v>
      </c>
      <c r="D105" s="4" t="s">
        <v>466</v>
      </c>
      <c r="E105" s="4" t="s">
        <v>467</v>
      </c>
      <c r="F105" s="4" t="s">
        <v>468</v>
      </c>
      <c r="G105" s="6" t="s">
        <v>1</v>
      </c>
      <c r="H105" s="6" t="s">
        <v>44</v>
      </c>
      <c r="I105" s="6" t="s">
        <v>1</v>
      </c>
      <c r="J105" s="6" t="s">
        <v>1</v>
      </c>
      <c r="K105" s="6" t="s">
        <v>1</v>
      </c>
      <c r="L105" s="6" t="s">
        <v>1</v>
      </c>
      <c r="M105" s="6" t="s">
        <v>1</v>
      </c>
      <c r="N105" s="6" t="s">
        <v>1</v>
      </c>
    </row>
    <row r="106" ht="48" customHeight="1" spans="1:14" x14ac:dyDescent="0.25">
      <c r="A106" s="4" t="s">
        <v>469</v>
      </c>
      <c r="B106" s="4" t="s">
        <v>461</v>
      </c>
      <c r="C106" s="4" t="s">
        <v>46</v>
      </c>
      <c r="D106" s="4" t="s">
        <v>470</v>
      </c>
      <c r="E106" s="4" t="s">
        <v>471</v>
      </c>
      <c r="F106" s="4" t="s">
        <v>472</v>
      </c>
      <c r="G106" s="5" t="s">
        <v>1</v>
      </c>
      <c r="H106" s="5" t="s">
        <v>44</v>
      </c>
      <c r="I106" s="5" t="s">
        <v>1</v>
      </c>
      <c r="J106" s="5" t="s">
        <v>1</v>
      </c>
      <c r="K106" s="5" t="s">
        <v>1</v>
      </c>
      <c r="L106" s="5" t="s">
        <v>1</v>
      </c>
      <c r="M106" s="5" t="s">
        <v>1</v>
      </c>
      <c r="N106" s="5" t="s">
        <v>1</v>
      </c>
    </row>
    <row r="107" ht="48" customHeight="1" spans="1:14" x14ac:dyDescent="0.25">
      <c r="A107" s="4" t="s">
        <v>473</v>
      </c>
      <c r="B107" s="4" t="s">
        <v>461</v>
      </c>
      <c r="C107" s="4" t="s">
        <v>46</v>
      </c>
      <c r="D107" s="4" t="s">
        <v>474</v>
      </c>
      <c r="E107" s="4" t="s">
        <v>475</v>
      </c>
      <c r="F107" s="4" t="s">
        <v>476</v>
      </c>
      <c r="G107" s="6" t="s">
        <v>1</v>
      </c>
      <c r="H107" s="6" t="s">
        <v>44</v>
      </c>
      <c r="I107" s="6" t="s">
        <v>1</v>
      </c>
      <c r="J107" s="6" t="s">
        <v>1</v>
      </c>
      <c r="K107" s="6" t="s">
        <v>1</v>
      </c>
      <c r="L107" s="6" t="s">
        <v>1</v>
      </c>
      <c r="M107" s="6" t="s">
        <v>1</v>
      </c>
      <c r="N107" s="6" t="s">
        <v>1</v>
      </c>
    </row>
    <row r="108" ht="48" customHeight="1" spans="1:14" x14ac:dyDescent="0.25">
      <c r="A108" s="4" t="s">
        <v>477</v>
      </c>
      <c r="B108" s="4" t="s">
        <v>478</v>
      </c>
      <c r="C108" s="4" t="s">
        <v>40</v>
      </c>
      <c r="D108" s="4" t="s">
        <v>479</v>
      </c>
      <c r="E108" s="4" t="s">
        <v>480</v>
      </c>
      <c r="F108" s="4" t="s">
        <v>481</v>
      </c>
      <c r="G108" s="5" t="s">
        <v>1</v>
      </c>
      <c r="H108" s="5" t="s">
        <v>44</v>
      </c>
      <c r="I108" s="5" t="s">
        <v>1</v>
      </c>
      <c r="J108" s="5" t="s">
        <v>1</v>
      </c>
      <c r="K108" s="5" t="s">
        <v>1</v>
      </c>
      <c r="L108" s="5" t="s">
        <v>1</v>
      </c>
      <c r="M108" s="5" t="s">
        <v>1</v>
      </c>
      <c r="N108" s="5" t="s">
        <v>1</v>
      </c>
    </row>
    <row r="109" ht="48" customHeight="1" spans="1:14" x14ac:dyDescent="0.25">
      <c r="A109" s="4" t="s">
        <v>482</v>
      </c>
      <c r="B109" s="4" t="s">
        <v>478</v>
      </c>
      <c r="C109" s="4" t="s">
        <v>40</v>
      </c>
      <c r="D109" s="4" t="s">
        <v>483</v>
      </c>
      <c r="E109" s="4" t="s">
        <v>157</v>
      </c>
      <c r="F109" s="4" t="s">
        <v>484</v>
      </c>
      <c r="G109" s="6" t="s">
        <v>1</v>
      </c>
      <c r="H109" s="6" t="s">
        <v>44</v>
      </c>
      <c r="I109" s="6" t="s">
        <v>1</v>
      </c>
      <c r="J109" s="6" t="s">
        <v>1</v>
      </c>
      <c r="K109" s="6" t="s">
        <v>1</v>
      </c>
      <c r="L109" s="6" t="s">
        <v>1</v>
      </c>
      <c r="M109" s="6" t="s">
        <v>1</v>
      </c>
      <c r="N109" s="6" t="s">
        <v>1</v>
      </c>
    </row>
    <row r="110" ht="48" customHeight="1" spans="1:14" x14ac:dyDescent="0.25">
      <c r="A110" s="4" t="s">
        <v>485</v>
      </c>
      <c r="B110" s="4" t="s">
        <v>478</v>
      </c>
      <c r="C110" s="4" t="s">
        <v>40</v>
      </c>
      <c r="D110" s="4" t="s">
        <v>486</v>
      </c>
      <c r="E110" s="4" t="s">
        <v>202</v>
      </c>
      <c r="F110" s="4" t="s">
        <v>487</v>
      </c>
      <c r="G110" s="5" t="s">
        <v>1</v>
      </c>
      <c r="H110" s="5" t="s">
        <v>44</v>
      </c>
      <c r="I110" s="5" t="s">
        <v>1</v>
      </c>
      <c r="J110" s="5" t="s">
        <v>1</v>
      </c>
      <c r="K110" s="5" t="s">
        <v>1</v>
      </c>
      <c r="L110" s="5" t="s">
        <v>1</v>
      </c>
      <c r="M110" s="5" t="s">
        <v>1</v>
      </c>
      <c r="N110" s="5" t="s">
        <v>1</v>
      </c>
    </row>
    <row r="111" ht="48" customHeight="1" spans="1:14" x14ac:dyDescent="0.25">
      <c r="A111" s="4" t="s">
        <v>488</v>
      </c>
      <c r="B111" s="4" t="s">
        <v>478</v>
      </c>
      <c r="C111" s="4" t="s">
        <v>40</v>
      </c>
      <c r="D111" s="4" t="s">
        <v>489</v>
      </c>
      <c r="E111" s="4" t="s">
        <v>251</v>
      </c>
      <c r="F111" s="4" t="s">
        <v>490</v>
      </c>
      <c r="G111" s="6" t="s">
        <v>1</v>
      </c>
      <c r="H111" s="6" t="s">
        <v>44</v>
      </c>
      <c r="I111" s="6" t="s">
        <v>1</v>
      </c>
      <c r="J111" s="6" t="s">
        <v>1</v>
      </c>
      <c r="K111" s="6" t="s">
        <v>1</v>
      </c>
      <c r="L111" s="6" t="s">
        <v>1</v>
      </c>
      <c r="M111" s="6" t="s">
        <v>1</v>
      </c>
      <c r="N111" s="6" t="s">
        <v>1</v>
      </c>
    </row>
    <row r="112" ht="48" customHeight="1" spans="1:14" x14ac:dyDescent="0.25">
      <c r="A112" s="4" t="s">
        <v>491</v>
      </c>
      <c r="B112" s="4" t="s">
        <v>478</v>
      </c>
      <c r="C112" s="4" t="s">
        <v>40</v>
      </c>
      <c r="D112" s="4" t="s">
        <v>492</v>
      </c>
      <c r="E112" s="4" t="s">
        <v>493</v>
      </c>
      <c r="F112" s="4" t="s">
        <v>494</v>
      </c>
      <c r="G112" s="5" t="s">
        <v>1</v>
      </c>
      <c r="H112" s="5" t="s">
        <v>44</v>
      </c>
      <c r="I112" s="5" t="s">
        <v>1</v>
      </c>
      <c r="J112" s="5" t="s">
        <v>1</v>
      </c>
      <c r="K112" s="5" t="s">
        <v>1</v>
      </c>
      <c r="L112" s="5" t="s">
        <v>1</v>
      </c>
      <c r="M112" s="5" t="s">
        <v>1</v>
      </c>
      <c r="N112" s="5" t="s">
        <v>1</v>
      </c>
    </row>
    <row r="113" ht="48" customHeight="1" spans="1:14" x14ac:dyDescent="0.25">
      <c r="A113" s="4" t="s">
        <v>495</v>
      </c>
      <c r="B113" s="4" t="s">
        <v>478</v>
      </c>
      <c r="C113" s="4" t="s">
        <v>40</v>
      </c>
      <c r="D113" s="4" t="s">
        <v>496</v>
      </c>
      <c r="E113" s="4" t="s">
        <v>329</v>
      </c>
      <c r="F113" s="4" t="s">
        <v>497</v>
      </c>
      <c r="G113" s="6" t="s">
        <v>1</v>
      </c>
      <c r="H113" s="6" t="s">
        <v>44</v>
      </c>
      <c r="I113" s="6" t="s">
        <v>1</v>
      </c>
      <c r="J113" s="6" t="s">
        <v>1</v>
      </c>
      <c r="K113" s="6" t="s">
        <v>1</v>
      </c>
      <c r="L113" s="6" t="s">
        <v>1</v>
      </c>
      <c r="M113" s="6" t="s">
        <v>1</v>
      </c>
      <c r="N113" s="6" t="s">
        <v>1</v>
      </c>
    </row>
    <row r="114" ht="48" customHeight="1" spans="1:14" x14ac:dyDescent="0.25">
      <c r="A114" s="4" t="s">
        <v>498</v>
      </c>
      <c r="B114" s="4" t="s">
        <v>478</v>
      </c>
      <c r="C114" s="4" t="s">
        <v>40</v>
      </c>
      <c r="D114" s="4" t="s">
        <v>346</v>
      </c>
      <c r="E114" s="4" t="s">
        <v>344</v>
      </c>
      <c r="F114" s="4" t="s">
        <v>348</v>
      </c>
      <c r="G114" s="5" t="s">
        <v>1</v>
      </c>
      <c r="H114" s="5" t="s">
        <v>44</v>
      </c>
      <c r="I114" s="5" t="s">
        <v>1</v>
      </c>
      <c r="J114" s="5" t="s">
        <v>1</v>
      </c>
      <c r="K114" s="5" t="s">
        <v>1</v>
      </c>
      <c r="L114" s="5" t="s">
        <v>1</v>
      </c>
      <c r="M114" s="5" t="s">
        <v>1</v>
      </c>
      <c r="N114" s="5" t="s">
        <v>1</v>
      </c>
    </row>
    <row r="115" ht="48" customHeight="1" spans="1:14" x14ac:dyDescent="0.25">
      <c r="A115" s="4" t="s">
        <v>499</v>
      </c>
      <c r="B115" s="4" t="s">
        <v>478</v>
      </c>
      <c r="C115" s="4" t="s">
        <v>40</v>
      </c>
      <c r="D115" s="4" t="s">
        <v>400</v>
      </c>
      <c r="E115" s="4" t="s">
        <v>399</v>
      </c>
      <c r="F115" s="4" t="s">
        <v>500</v>
      </c>
      <c r="G115" s="6" t="s">
        <v>1</v>
      </c>
      <c r="H115" s="6" t="s">
        <v>44</v>
      </c>
      <c r="I115" s="6" t="s">
        <v>1</v>
      </c>
      <c r="J115" s="6" t="s">
        <v>1</v>
      </c>
      <c r="K115" s="6" t="s">
        <v>1</v>
      </c>
      <c r="L115" s="6" t="s">
        <v>1</v>
      </c>
      <c r="M115" s="6" t="s">
        <v>1</v>
      </c>
      <c r="N115" s="6" t="s">
        <v>1</v>
      </c>
    </row>
    <row r="116" ht="48" customHeight="1" spans="1:14" x14ac:dyDescent="0.25">
      <c r="A116" s="4" t="s">
        <v>501</v>
      </c>
      <c r="B116" s="4" t="s">
        <v>478</v>
      </c>
      <c r="C116" s="4" t="s">
        <v>40</v>
      </c>
      <c r="D116" s="4" t="s">
        <v>412</v>
      </c>
      <c r="E116" s="4" t="s">
        <v>411</v>
      </c>
      <c r="F116" s="4" t="s">
        <v>502</v>
      </c>
      <c r="G116" s="5" t="s">
        <v>1</v>
      </c>
      <c r="H116" s="5" t="s">
        <v>44</v>
      </c>
      <c r="I116" s="5" t="s">
        <v>1</v>
      </c>
      <c r="J116" s="5" t="s">
        <v>1</v>
      </c>
      <c r="K116" s="5" t="s">
        <v>1</v>
      </c>
      <c r="L116" s="5" t="s">
        <v>1</v>
      </c>
      <c r="M116" s="5" t="s">
        <v>1</v>
      </c>
      <c r="N116" s="5" t="s">
        <v>1</v>
      </c>
    </row>
    <row r="117" ht="48" customHeight="1" spans="1:14" x14ac:dyDescent="0.25">
      <c r="A117" s="4" t="s">
        <v>503</v>
      </c>
      <c r="B117" s="4" t="s">
        <v>478</v>
      </c>
      <c r="C117" s="4" t="s">
        <v>40</v>
      </c>
      <c r="D117" s="4" t="s">
        <v>504</v>
      </c>
      <c r="E117" s="4" t="s">
        <v>50</v>
      </c>
      <c r="F117" s="4" t="s">
        <v>505</v>
      </c>
      <c r="G117" s="6" t="s">
        <v>1</v>
      </c>
      <c r="H117" s="6" t="s">
        <v>44</v>
      </c>
      <c r="I117" s="6" t="s">
        <v>1</v>
      </c>
      <c r="J117" s="6" t="s">
        <v>1</v>
      </c>
      <c r="K117" s="6" t="s">
        <v>1</v>
      </c>
      <c r="L117" s="6" t="s">
        <v>1</v>
      </c>
      <c r="M117" s="6" t="s">
        <v>1</v>
      </c>
      <c r="N117" s="6" t="s">
        <v>1</v>
      </c>
    </row>
  </sheetData>
  <autoFilter ref="A1:N117"/>
  <dataValidations count="4">
    <dataValidation type="list" allowBlank="1" showErrorMessage="1" errorTitle="Invalid value" error="Choose one of: Not Run, Pass, Fail, Blocked, N/A" sqref="H10:H117">
      <formula1>"Not Run,Pass,Fail,Blocked,N/A"</formula1>
    </dataValidation>
    <dataValidation type="list" allowBlank="1" showErrorMessage="1" errorTitle="Invalid value" error="Choose one of: Not Run, Pass, Fail, Blocked, N/A" sqref="H2:H117">
      <formula1>"Not Run,Pass,Fail,Blocked,N/A"</formula1>
    </dataValidation>
    <dataValidation type="list" allowBlank="1" showErrorMessage="1" errorTitle="Invalid value" error="Choose one of: Local, Staging, Production" sqref="M10:M117">
      <formula1>"Local,Staging,Production"</formula1>
    </dataValidation>
    <dataValidation type="list" allowBlank="1" showErrorMessage="1" errorTitle="Invalid value" error="Choose one of: Local, Staging, Production" sqref="M2:M117">
      <formula1>"Local,Staging,Production"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8" customWidth="1"/>
    <col min="5" max="6" width="40" customWidth="1"/>
    <col min="7" max="8" width="28" customWidth="1"/>
    <col min="9" max="18" width="16" customWidth="1"/>
    <col min="19" max="19" width="40" customWidth="1"/>
    <col min="20" max="20" width="16" customWidth="1"/>
  </cols>
  <sheetData>
    <row r="1" ht="28" customHeight="1" spans="1:20" x14ac:dyDescent="0.25">
      <c r="A1" s="7" t="s">
        <v>32</v>
      </c>
      <c r="B1" s="7" t="s">
        <v>506</v>
      </c>
      <c r="C1" s="7" t="s">
        <v>25</v>
      </c>
      <c r="D1" s="7" t="s">
        <v>507</v>
      </c>
      <c r="E1" s="7" t="s">
        <v>508</v>
      </c>
      <c r="F1" s="7" t="s">
        <v>509</v>
      </c>
      <c r="G1" s="7" t="s">
        <v>510</v>
      </c>
      <c r="H1" s="7" t="s">
        <v>511</v>
      </c>
      <c r="I1" s="7" t="s">
        <v>512</v>
      </c>
      <c r="J1" s="7" t="s">
        <v>513</v>
      </c>
      <c r="K1" s="7" t="s">
        <v>514</v>
      </c>
      <c r="L1" s="7" t="s">
        <v>515</v>
      </c>
      <c r="M1" s="7" t="s">
        <v>516</v>
      </c>
      <c r="N1" s="7" t="s">
        <v>517</v>
      </c>
      <c r="O1" s="7" t="s">
        <v>518</v>
      </c>
      <c r="P1" s="7" t="s">
        <v>519</v>
      </c>
      <c r="Q1" s="7" t="s">
        <v>520</v>
      </c>
      <c r="R1" s="7" t="s">
        <v>521</v>
      </c>
      <c r="S1" s="7" t="s">
        <v>522</v>
      </c>
      <c r="T1" s="7" t="s">
        <v>523</v>
      </c>
    </row>
    <row r="2" ht="36" customHeight="1" spans="1:20" x14ac:dyDescent="0.25">
      <c r="A2" s="8" t="s">
        <v>524</v>
      </c>
      <c r="B2" s="5" t="s">
        <v>1</v>
      </c>
      <c r="C2" s="5" t="s">
        <v>1</v>
      </c>
      <c r="D2" s="5" t="s">
        <v>1</v>
      </c>
      <c r="E2" s="5" t="s">
        <v>1</v>
      </c>
      <c r="F2" s="5" t="s">
        <v>1</v>
      </c>
      <c r="G2" s="5" t="s">
        <v>1</v>
      </c>
      <c r="H2" s="5" t="s">
        <v>1</v>
      </c>
      <c r="I2" s="5" t="s">
        <v>1</v>
      </c>
      <c r="J2" s="5" t="s">
        <v>525</v>
      </c>
      <c r="K2" s="5" t="s">
        <v>1</v>
      </c>
      <c r="L2" s="5" t="s">
        <v>1</v>
      </c>
      <c r="M2" s="5" t="s">
        <v>1</v>
      </c>
      <c r="N2" s="5" t="s">
        <v>1</v>
      </c>
      <c r="O2" s="5" t="s">
        <v>1</v>
      </c>
      <c r="P2" s="5" t="s">
        <v>1</v>
      </c>
      <c r="Q2" s="5" t="s">
        <v>1</v>
      </c>
      <c r="R2" s="5" t="s">
        <v>1</v>
      </c>
      <c r="S2" s="5" t="s">
        <v>1</v>
      </c>
      <c r="T2" s="5" t="s">
        <v>1</v>
      </c>
    </row>
    <row r="3" ht="36" customHeight="1" spans="1:20" x14ac:dyDescent="0.25">
      <c r="A3" s="8" t="s">
        <v>526</v>
      </c>
      <c r="B3" s="6" t="s">
        <v>1</v>
      </c>
      <c r="C3" s="6" t="s">
        <v>1</v>
      </c>
      <c r="D3" s="6" t="s">
        <v>1</v>
      </c>
      <c r="E3" s="6" t="s">
        <v>1</v>
      </c>
      <c r="F3" s="6" t="s">
        <v>1</v>
      </c>
      <c r="G3" s="6" t="s">
        <v>1</v>
      </c>
      <c r="H3" s="6" t="s">
        <v>1</v>
      </c>
      <c r="I3" s="6" t="s">
        <v>1</v>
      </c>
      <c r="J3" s="6" t="s">
        <v>525</v>
      </c>
      <c r="K3" s="6" t="s">
        <v>1</v>
      </c>
      <c r="L3" s="6" t="s">
        <v>1</v>
      </c>
      <c r="M3" s="6" t="s">
        <v>1</v>
      </c>
      <c r="N3" s="6" t="s">
        <v>1</v>
      </c>
      <c r="O3" s="6" t="s">
        <v>1</v>
      </c>
      <c r="P3" s="6" t="s">
        <v>1</v>
      </c>
      <c r="Q3" s="6" t="s">
        <v>1</v>
      </c>
      <c r="R3" s="6" t="s">
        <v>1</v>
      </c>
      <c r="S3" s="6" t="s">
        <v>1</v>
      </c>
      <c r="T3" s="6" t="s">
        <v>1</v>
      </c>
    </row>
    <row r="4" ht="36" customHeight="1" spans="1:20" x14ac:dyDescent="0.25">
      <c r="A4" s="8" t="s">
        <v>527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525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</row>
    <row r="5" ht="36" customHeight="1" spans="1:20" x14ac:dyDescent="0.25">
      <c r="A5" s="8" t="s">
        <v>528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</v>
      </c>
      <c r="G5" s="6" t="s">
        <v>1</v>
      </c>
      <c r="H5" s="6" t="s">
        <v>1</v>
      </c>
      <c r="I5" s="6" t="s">
        <v>1</v>
      </c>
      <c r="J5" s="6" t="s">
        <v>525</v>
      </c>
      <c r="K5" s="6" t="s">
        <v>1</v>
      </c>
      <c r="L5" s="6" t="s">
        <v>1</v>
      </c>
      <c r="M5" s="6" t="s">
        <v>1</v>
      </c>
      <c r="N5" s="6" t="s">
        <v>1</v>
      </c>
      <c r="O5" s="6" t="s">
        <v>1</v>
      </c>
      <c r="P5" s="6" t="s">
        <v>1</v>
      </c>
      <c r="Q5" s="6" t="s">
        <v>1</v>
      </c>
      <c r="R5" s="6" t="s">
        <v>1</v>
      </c>
      <c r="S5" s="6" t="s">
        <v>1</v>
      </c>
      <c r="T5" s="6" t="s">
        <v>1</v>
      </c>
    </row>
    <row r="6" ht="36" customHeight="1" spans="1:20" x14ac:dyDescent="0.25">
      <c r="A6" s="8" t="s">
        <v>529</v>
      </c>
      <c r="B6" s="5" t="s">
        <v>1</v>
      </c>
      <c r="C6" s="5" t="s">
        <v>1</v>
      </c>
      <c r="D6" s="5" t="s">
        <v>1</v>
      </c>
      <c r="E6" s="5" t="s">
        <v>1</v>
      </c>
      <c r="F6" s="5" t="s">
        <v>1</v>
      </c>
      <c r="G6" s="5" t="s">
        <v>1</v>
      </c>
      <c r="H6" s="5" t="s">
        <v>1</v>
      </c>
      <c r="I6" s="5" t="s">
        <v>1</v>
      </c>
      <c r="J6" s="5" t="s">
        <v>525</v>
      </c>
      <c r="K6" s="5" t="s">
        <v>1</v>
      </c>
      <c r="L6" s="5" t="s">
        <v>1</v>
      </c>
      <c r="M6" s="5" t="s">
        <v>1</v>
      </c>
      <c r="N6" s="5" t="s">
        <v>1</v>
      </c>
      <c r="O6" s="5" t="s">
        <v>1</v>
      </c>
      <c r="P6" s="5" t="s">
        <v>1</v>
      </c>
      <c r="Q6" s="5" t="s">
        <v>1</v>
      </c>
      <c r="R6" s="5" t="s">
        <v>1</v>
      </c>
      <c r="S6" s="5" t="s">
        <v>1</v>
      </c>
      <c r="T6" s="5" t="s">
        <v>1</v>
      </c>
    </row>
    <row r="7" ht="36" customHeight="1" spans="1:20" x14ac:dyDescent="0.25">
      <c r="A7" s="8" t="s">
        <v>530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525</v>
      </c>
      <c r="K7" s="6" t="s">
        <v>1</v>
      </c>
      <c r="L7" s="6" t="s">
        <v>1</v>
      </c>
      <c r="M7" s="6" t="s">
        <v>1</v>
      </c>
      <c r="N7" s="6" t="s">
        <v>1</v>
      </c>
      <c r="O7" s="6" t="s">
        <v>1</v>
      </c>
      <c r="P7" s="6" t="s">
        <v>1</v>
      </c>
      <c r="Q7" s="6" t="s">
        <v>1</v>
      </c>
      <c r="R7" s="6" t="s">
        <v>1</v>
      </c>
      <c r="S7" s="6" t="s">
        <v>1</v>
      </c>
      <c r="T7" s="6" t="s">
        <v>1</v>
      </c>
    </row>
    <row r="8" ht="36" customHeight="1" spans="1:20" x14ac:dyDescent="0.25">
      <c r="A8" s="8" t="s">
        <v>531</v>
      </c>
      <c r="B8" s="5" t="s">
        <v>1</v>
      </c>
      <c r="C8" s="5" t="s">
        <v>1</v>
      </c>
      <c r="D8" s="5" t="s">
        <v>1</v>
      </c>
      <c r="E8" s="5" t="s">
        <v>1</v>
      </c>
      <c r="F8" s="5" t="s">
        <v>1</v>
      </c>
      <c r="G8" s="5" t="s">
        <v>1</v>
      </c>
      <c r="H8" s="5" t="s">
        <v>1</v>
      </c>
      <c r="I8" s="5" t="s">
        <v>1</v>
      </c>
      <c r="J8" s="5" t="s">
        <v>525</v>
      </c>
      <c r="K8" s="5" t="s">
        <v>1</v>
      </c>
      <c r="L8" s="5" t="s">
        <v>1</v>
      </c>
      <c r="M8" s="5" t="s">
        <v>1</v>
      </c>
      <c r="N8" s="5" t="s">
        <v>1</v>
      </c>
      <c r="O8" s="5" t="s">
        <v>1</v>
      </c>
      <c r="P8" s="5" t="s">
        <v>1</v>
      </c>
      <c r="Q8" s="5" t="s">
        <v>1</v>
      </c>
      <c r="R8" s="5" t="s">
        <v>1</v>
      </c>
      <c r="S8" s="5" t="s">
        <v>1</v>
      </c>
      <c r="T8" s="5" t="s">
        <v>1</v>
      </c>
    </row>
    <row r="9" ht="36" customHeight="1" spans="1:20" x14ac:dyDescent="0.25">
      <c r="A9" s="8" t="s">
        <v>532</v>
      </c>
      <c r="B9" s="6" t="s">
        <v>1</v>
      </c>
      <c r="C9" s="6" t="s">
        <v>1</v>
      </c>
      <c r="D9" s="6" t="s">
        <v>1</v>
      </c>
      <c r="E9" s="6" t="s">
        <v>1</v>
      </c>
      <c r="F9" s="6" t="s">
        <v>1</v>
      </c>
      <c r="G9" s="6" t="s">
        <v>1</v>
      </c>
      <c r="H9" s="6" t="s">
        <v>1</v>
      </c>
      <c r="I9" s="6" t="s">
        <v>1</v>
      </c>
      <c r="J9" s="6" t="s">
        <v>525</v>
      </c>
      <c r="K9" s="6" t="s">
        <v>1</v>
      </c>
      <c r="L9" s="6" t="s">
        <v>1</v>
      </c>
      <c r="M9" s="6" t="s">
        <v>1</v>
      </c>
      <c r="N9" s="6" t="s">
        <v>1</v>
      </c>
      <c r="O9" s="6" t="s">
        <v>1</v>
      </c>
      <c r="P9" s="6" t="s">
        <v>1</v>
      </c>
      <c r="Q9" s="6" t="s">
        <v>1</v>
      </c>
      <c r="R9" s="6" t="s">
        <v>1</v>
      </c>
      <c r="S9" s="6" t="s">
        <v>1</v>
      </c>
      <c r="T9" s="6" t="s">
        <v>1</v>
      </c>
    </row>
    <row r="10" ht="36" customHeight="1" spans="1:20" x14ac:dyDescent="0.25">
      <c r="A10" s="8" t="s">
        <v>533</v>
      </c>
      <c r="B10" s="5" t="s">
        <v>1</v>
      </c>
      <c r="C10" s="5" t="s">
        <v>1</v>
      </c>
      <c r="D10" s="5" t="s">
        <v>1</v>
      </c>
      <c r="E10" s="5" t="s">
        <v>1</v>
      </c>
      <c r="F10" s="5" t="s">
        <v>1</v>
      </c>
      <c r="G10" s="5" t="s">
        <v>1</v>
      </c>
      <c r="H10" s="5" t="s">
        <v>1</v>
      </c>
      <c r="I10" s="5" t="s">
        <v>1</v>
      </c>
      <c r="J10" s="5" t="s">
        <v>525</v>
      </c>
      <c r="K10" s="5" t="s">
        <v>1</v>
      </c>
      <c r="L10" s="5" t="s">
        <v>1</v>
      </c>
      <c r="M10" s="5" t="s">
        <v>1</v>
      </c>
      <c r="N10" s="5" t="s">
        <v>1</v>
      </c>
      <c r="O10" s="5" t="s">
        <v>1</v>
      </c>
      <c r="P10" s="5" t="s">
        <v>1</v>
      </c>
      <c r="Q10" s="5" t="s">
        <v>1</v>
      </c>
      <c r="R10" s="5" t="s">
        <v>1</v>
      </c>
      <c r="S10" s="5" t="s">
        <v>1</v>
      </c>
      <c r="T10" s="5" t="s">
        <v>1</v>
      </c>
    </row>
    <row r="11" ht="36" customHeight="1" spans="1:20" x14ac:dyDescent="0.25">
      <c r="A11" s="8" t="s">
        <v>534</v>
      </c>
      <c r="B11" s="6" t="s">
        <v>1</v>
      </c>
      <c r="C11" s="6" t="s">
        <v>1</v>
      </c>
      <c r="D11" s="6" t="s">
        <v>1</v>
      </c>
      <c r="E11" s="6" t="s">
        <v>1</v>
      </c>
      <c r="F11" s="6" t="s">
        <v>1</v>
      </c>
      <c r="G11" s="6" t="s">
        <v>1</v>
      </c>
      <c r="H11" s="6" t="s">
        <v>1</v>
      </c>
      <c r="I11" s="6" t="s">
        <v>1</v>
      </c>
      <c r="J11" s="6" t="s">
        <v>525</v>
      </c>
      <c r="K11" s="6" t="s">
        <v>1</v>
      </c>
      <c r="L11" s="6" t="s">
        <v>1</v>
      </c>
      <c r="M11" s="6" t="s">
        <v>1</v>
      </c>
      <c r="N11" s="6" t="s">
        <v>1</v>
      </c>
      <c r="O11" s="6" t="s">
        <v>1</v>
      </c>
      <c r="P11" s="6" t="s">
        <v>1</v>
      </c>
      <c r="Q11" s="6" t="s">
        <v>1</v>
      </c>
      <c r="R11" s="6" t="s">
        <v>1</v>
      </c>
      <c r="S11" s="6" t="s">
        <v>1</v>
      </c>
      <c r="T11" s="6" t="s">
        <v>1</v>
      </c>
    </row>
    <row r="12" ht="36" customHeight="1" spans="1:20" x14ac:dyDescent="0.25">
      <c r="A12" s="8" t="s">
        <v>535</v>
      </c>
      <c r="B12" s="5" t="s">
        <v>1</v>
      </c>
      <c r="C12" s="5" t="s">
        <v>1</v>
      </c>
      <c r="D12" s="5" t="s">
        <v>1</v>
      </c>
      <c r="E12" s="5" t="s">
        <v>1</v>
      </c>
      <c r="F12" s="5" t="s">
        <v>1</v>
      </c>
      <c r="G12" s="5" t="s">
        <v>1</v>
      </c>
      <c r="H12" s="5" t="s">
        <v>1</v>
      </c>
      <c r="I12" s="5" t="s">
        <v>1</v>
      </c>
      <c r="J12" s="5" t="s">
        <v>525</v>
      </c>
      <c r="K12" s="5" t="s">
        <v>1</v>
      </c>
      <c r="L12" s="5" t="s">
        <v>1</v>
      </c>
      <c r="M12" s="5" t="s">
        <v>1</v>
      </c>
      <c r="N12" s="5" t="s">
        <v>1</v>
      </c>
      <c r="O12" s="5" t="s">
        <v>1</v>
      </c>
      <c r="P12" s="5" t="s">
        <v>1</v>
      </c>
      <c r="Q12" s="5" t="s">
        <v>1</v>
      </c>
      <c r="R12" s="5" t="s">
        <v>1</v>
      </c>
      <c r="S12" s="5" t="s">
        <v>1</v>
      </c>
      <c r="T12" s="5" t="s">
        <v>1</v>
      </c>
    </row>
    <row r="13" ht="36" customHeight="1" spans="1:20" x14ac:dyDescent="0.25">
      <c r="A13" s="8" t="s">
        <v>536</v>
      </c>
      <c r="B13" s="6" t="s">
        <v>1</v>
      </c>
      <c r="C13" s="6" t="s">
        <v>1</v>
      </c>
      <c r="D13" s="6" t="s">
        <v>1</v>
      </c>
      <c r="E13" s="6" t="s">
        <v>1</v>
      </c>
      <c r="F13" s="6" t="s">
        <v>1</v>
      </c>
      <c r="G13" s="6" t="s">
        <v>1</v>
      </c>
      <c r="H13" s="6" t="s">
        <v>1</v>
      </c>
      <c r="I13" s="6" t="s">
        <v>1</v>
      </c>
      <c r="J13" s="6" t="s">
        <v>525</v>
      </c>
      <c r="K13" s="6" t="s">
        <v>1</v>
      </c>
      <c r="L13" s="6" t="s">
        <v>1</v>
      </c>
      <c r="M13" s="6" t="s">
        <v>1</v>
      </c>
      <c r="N13" s="6" t="s">
        <v>1</v>
      </c>
      <c r="O13" s="6" t="s">
        <v>1</v>
      </c>
      <c r="P13" s="6" t="s">
        <v>1</v>
      </c>
      <c r="Q13" s="6" t="s">
        <v>1</v>
      </c>
      <c r="R13" s="6" t="s">
        <v>1</v>
      </c>
      <c r="S13" s="6" t="s">
        <v>1</v>
      </c>
      <c r="T13" s="6" t="s">
        <v>1</v>
      </c>
    </row>
    <row r="14" ht="36" customHeight="1" spans="1:20" x14ac:dyDescent="0.25">
      <c r="A14" s="8" t="s">
        <v>537</v>
      </c>
      <c r="B14" s="5" t="s">
        <v>1</v>
      </c>
      <c r="C14" s="5" t="s">
        <v>1</v>
      </c>
      <c r="D14" s="5" t="s">
        <v>1</v>
      </c>
      <c r="E14" s="5" t="s">
        <v>1</v>
      </c>
      <c r="F14" s="5" t="s">
        <v>1</v>
      </c>
      <c r="G14" s="5" t="s">
        <v>1</v>
      </c>
      <c r="H14" s="5" t="s">
        <v>1</v>
      </c>
      <c r="I14" s="5" t="s">
        <v>1</v>
      </c>
      <c r="J14" s="5" t="s">
        <v>525</v>
      </c>
      <c r="K14" s="5" t="s">
        <v>1</v>
      </c>
      <c r="L14" s="5" t="s">
        <v>1</v>
      </c>
      <c r="M14" s="5" t="s">
        <v>1</v>
      </c>
      <c r="N14" s="5" t="s">
        <v>1</v>
      </c>
      <c r="O14" s="5" t="s">
        <v>1</v>
      </c>
      <c r="P14" s="5" t="s">
        <v>1</v>
      </c>
      <c r="Q14" s="5" t="s">
        <v>1</v>
      </c>
      <c r="R14" s="5" t="s">
        <v>1</v>
      </c>
      <c r="S14" s="5" t="s">
        <v>1</v>
      </c>
      <c r="T14" s="5" t="s">
        <v>1</v>
      </c>
    </row>
    <row r="15" ht="36" customHeight="1" spans="1:20" x14ac:dyDescent="0.25">
      <c r="A15" s="8" t="s">
        <v>538</v>
      </c>
      <c r="B15" s="6" t="s">
        <v>1</v>
      </c>
      <c r="C15" s="6" t="s">
        <v>1</v>
      </c>
      <c r="D15" s="6" t="s">
        <v>1</v>
      </c>
      <c r="E15" s="6" t="s">
        <v>1</v>
      </c>
      <c r="F15" s="6" t="s">
        <v>1</v>
      </c>
      <c r="G15" s="6" t="s">
        <v>1</v>
      </c>
      <c r="H15" s="6" t="s">
        <v>1</v>
      </c>
      <c r="I15" s="6" t="s">
        <v>1</v>
      </c>
      <c r="J15" s="6" t="s">
        <v>525</v>
      </c>
      <c r="K15" s="6" t="s">
        <v>1</v>
      </c>
      <c r="L15" s="6" t="s">
        <v>1</v>
      </c>
      <c r="M15" s="6" t="s">
        <v>1</v>
      </c>
      <c r="N15" s="6" t="s">
        <v>1</v>
      </c>
      <c r="O15" s="6" t="s">
        <v>1</v>
      </c>
      <c r="P15" s="6" t="s">
        <v>1</v>
      </c>
      <c r="Q15" s="6" t="s">
        <v>1</v>
      </c>
      <c r="R15" s="6" t="s">
        <v>1</v>
      </c>
      <c r="S15" s="6" t="s">
        <v>1</v>
      </c>
      <c r="T15" s="6" t="s">
        <v>1</v>
      </c>
    </row>
    <row r="16" ht="36" customHeight="1" spans="1:20" x14ac:dyDescent="0.25">
      <c r="A16" s="8" t="s">
        <v>539</v>
      </c>
      <c r="B16" s="5" t="s">
        <v>1</v>
      </c>
      <c r="C16" s="5" t="s">
        <v>1</v>
      </c>
      <c r="D16" s="5" t="s">
        <v>1</v>
      </c>
      <c r="E16" s="5" t="s">
        <v>1</v>
      </c>
      <c r="F16" s="5" t="s">
        <v>1</v>
      </c>
      <c r="G16" s="5" t="s">
        <v>1</v>
      </c>
      <c r="H16" s="5" t="s">
        <v>1</v>
      </c>
      <c r="I16" s="5" t="s">
        <v>1</v>
      </c>
      <c r="J16" s="5" t="s">
        <v>525</v>
      </c>
      <c r="K16" s="5" t="s">
        <v>1</v>
      </c>
      <c r="L16" s="5" t="s">
        <v>1</v>
      </c>
      <c r="M16" s="5" t="s">
        <v>1</v>
      </c>
      <c r="N16" s="5" t="s">
        <v>1</v>
      </c>
      <c r="O16" s="5" t="s">
        <v>1</v>
      </c>
      <c r="P16" s="5" t="s">
        <v>1</v>
      </c>
      <c r="Q16" s="5" t="s">
        <v>1</v>
      </c>
      <c r="R16" s="5" t="s">
        <v>1</v>
      </c>
      <c r="S16" s="5" t="s">
        <v>1</v>
      </c>
      <c r="T16" s="5" t="s">
        <v>1</v>
      </c>
    </row>
    <row r="17" ht="36" customHeight="1" spans="1:20" x14ac:dyDescent="0.25">
      <c r="A17" s="8" t="s">
        <v>540</v>
      </c>
      <c r="B17" s="6" t="s">
        <v>1</v>
      </c>
      <c r="C17" s="6" t="s">
        <v>1</v>
      </c>
      <c r="D17" s="6" t="s">
        <v>1</v>
      </c>
      <c r="E17" s="6" t="s">
        <v>1</v>
      </c>
      <c r="F17" s="6" t="s">
        <v>1</v>
      </c>
      <c r="G17" s="6" t="s">
        <v>1</v>
      </c>
      <c r="H17" s="6" t="s">
        <v>1</v>
      </c>
      <c r="I17" s="6" t="s">
        <v>1</v>
      </c>
      <c r="J17" s="6" t="s">
        <v>525</v>
      </c>
      <c r="K17" s="6" t="s">
        <v>1</v>
      </c>
      <c r="L17" s="6" t="s">
        <v>1</v>
      </c>
      <c r="M17" s="6" t="s">
        <v>1</v>
      </c>
      <c r="N17" s="6" t="s">
        <v>1</v>
      </c>
      <c r="O17" s="6" t="s">
        <v>1</v>
      </c>
      <c r="P17" s="6" t="s">
        <v>1</v>
      </c>
      <c r="Q17" s="6" t="s">
        <v>1</v>
      </c>
      <c r="R17" s="6" t="s">
        <v>1</v>
      </c>
      <c r="S17" s="6" t="s">
        <v>1</v>
      </c>
      <c r="T17" s="6" t="s">
        <v>1</v>
      </c>
    </row>
    <row r="18" ht="36" customHeight="1" spans="1:20" x14ac:dyDescent="0.25">
      <c r="A18" s="8" t="s">
        <v>541</v>
      </c>
      <c r="B18" s="5" t="s">
        <v>1</v>
      </c>
      <c r="C18" s="5" t="s">
        <v>1</v>
      </c>
      <c r="D18" s="5" t="s">
        <v>1</v>
      </c>
      <c r="E18" s="5" t="s">
        <v>1</v>
      </c>
      <c r="F18" s="5" t="s">
        <v>1</v>
      </c>
      <c r="G18" s="5" t="s">
        <v>1</v>
      </c>
      <c r="H18" s="5" t="s">
        <v>1</v>
      </c>
      <c r="I18" s="5" t="s">
        <v>1</v>
      </c>
      <c r="J18" s="5" t="s">
        <v>525</v>
      </c>
      <c r="K18" s="5" t="s">
        <v>1</v>
      </c>
      <c r="L18" s="5" t="s">
        <v>1</v>
      </c>
      <c r="M18" s="5" t="s">
        <v>1</v>
      </c>
      <c r="N18" s="5" t="s">
        <v>1</v>
      </c>
      <c r="O18" s="5" t="s">
        <v>1</v>
      </c>
      <c r="P18" s="5" t="s">
        <v>1</v>
      </c>
      <c r="Q18" s="5" t="s">
        <v>1</v>
      </c>
      <c r="R18" s="5" t="s">
        <v>1</v>
      </c>
      <c r="S18" s="5" t="s">
        <v>1</v>
      </c>
      <c r="T18" s="5" t="s">
        <v>1</v>
      </c>
    </row>
    <row r="19" ht="36" customHeight="1" spans="1:20" x14ac:dyDescent="0.25">
      <c r="A19" s="8" t="s">
        <v>542</v>
      </c>
      <c r="B19" s="6" t="s">
        <v>1</v>
      </c>
      <c r="C19" s="6" t="s">
        <v>1</v>
      </c>
      <c r="D19" s="6" t="s">
        <v>1</v>
      </c>
      <c r="E19" s="6" t="s">
        <v>1</v>
      </c>
      <c r="F19" s="6" t="s">
        <v>1</v>
      </c>
      <c r="G19" s="6" t="s">
        <v>1</v>
      </c>
      <c r="H19" s="6" t="s">
        <v>1</v>
      </c>
      <c r="I19" s="6" t="s">
        <v>1</v>
      </c>
      <c r="J19" s="6" t="s">
        <v>525</v>
      </c>
      <c r="K19" s="6" t="s">
        <v>1</v>
      </c>
      <c r="L19" s="6" t="s">
        <v>1</v>
      </c>
      <c r="M19" s="6" t="s">
        <v>1</v>
      </c>
      <c r="N19" s="6" t="s">
        <v>1</v>
      </c>
      <c r="O19" s="6" t="s">
        <v>1</v>
      </c>
      <c r="P19" s="6" t="s">
        <v>1</v>
      </c>
      <c r="Q19" s="6" t="s">
        <v>1</v>
      </c>
      <c r="R19" s="6" t="s">
        <v>1</v>
      </c>
      <c r="S19" s="6" t="s">
        <v>1</v>
      </c>
      <c r="T19" s="6" t="s">
        <v>1</v>
      </c>
    </row>
    <row r="20" ht="36" customHeight="1" spans="1:20" x14ac:dyDescent="0.25">
      <c r="A20" s="8" t="s">
        <v>543</v>
      </c>
      <c r="B20" s="5" t="s">
        <v>1</v>
      </c>
      <c r="C20" s="5" t="s">
        <v>1</v>
      </c>
      <c r="D20" s="5" t="s">
        <v>1</v>
      </c>
      <c r="E20" s="5" t="s">
        <v>1</v>
      </c>
      <c r="F20" s="5" t="s">
        <v>1</v>
      </c>
      <c r="G20" s="5" t="s">
        <v>1</v>
      </c>
      <c r="H20" s="5" t="s">
        <v>1</v>
      </c>
      <c r="I20" s="5" t="s">
        <v>1</v>
      </c>
      <c r="J20" s="5" t="s">
        <v>525</v>
      </c>
      <c r="K20" s="5" t="s">
        <v>1</v>
      </c>
      <c r="L20" s="5" t="s">
        <v>1</v>
      </c>
      <c r="M20" s="5" t="s">
        <v>1</v>
      </c>
      <c r="N20" s="5" t="s">
        <v>1</v>
      </c>
      <c r="O20" s="5" t="s">
        <v>1</v>
      </c>
      <c r="P20" s="5" t="s">
        <v>1</v>
      </c>
      <c r="Q20" s="5" t="s">
        <v>1</v>
      </c>
      <c r="R20" s="5" t="s">
        <v>1</v>
      </c>
      <c r="S20" s="5" t="s">
        <v>1</v>
      </c>
      <c r="T20" s="5" t="s">
        <v>1</v>
      </c>
    </row>
    <row r="21" ht="36" customHeight="1" spans="1:20" x14ac:dyDescent="0.25">
      <c r="A21" s="8" t="s">
        <v>544</v>
      </c>
      <c r="B21" s="6" t="s">
        <v>1</v>
      </c>
      <c r="C21" s="6" t="s">
        <v>1</v>
      </c>
      <c r="D21" s="6" t="s">
        <v>1</v>
      </c>
      <c r="E21" s="6" t="s">
        <v>1</v>
      </c>
      <c r="F21" s="6" t="s">
        <v>1</v>
      </c>
      <c r="G21" s="6" t="s">
        <v>1</v>
      </c>
      <c r="H21" s="6" t="s">
        <v>1</v>
      </c>
      <c r="I21" s="6" t="s">
        <v>1</v>
      </c>
      <c r="J21" s="6" t="s">
        <v>525</v>
      </c>
      <c r="K21" s="6" t="s">
        <v>1</v>
      </c>
      <c r="L21" s="6" t="s">
        <v>1</v>
      </c>
      <c r="M21" s="6" t="s">
        <v>1</v>
      </c>
      <c r="N21" s="6" t="s">
        <v>1</v>
      </c>
      <c r="O21" s="6" t="s">
        <v>1</v>
      </c>
      <c r="P21" s="6" t="s">
        <v>1</v>
      </c>
      <c r="Q21" s="6" t="s">
        <v>1</v>
      </c>
      <c r="R21" s="6" t="s">
        <v>1</v>
      </c>
      <c r="S21" s="6" t="s">
        <v>1</v>
      </c>
      <c r="T21" s="6" t="s">
        <v>1</v>
      </c>
    </row>
    <row r="22" ht="36" customHeight="1" spans="1:20" x14ac:dyDescent="0.25">
      <c r="A22" s="8" t="s">
        <v>545</v>
      </c>
      <c r="B22" s="5" t="s">
        <v>1</v>
      </c>
      <c r="C22" s="5" t="s">
        <v>1</v>
      </c>
      <c r="D22" s="5" t="s">
        <v>1</v>
      </c>
      <c r="E22" s="5" t="s">
        <v>1</v>
      </c>
      <c r="F22" s="5" t="s">
        <v>1</v>
      </c>
      <c r="G22" s="5" t="s">
        <v>1</v>
      </c>
      <c r="H22" s="5" t="s">
        <v>1</v>
      </c>
      <c r="I22" s="5" t="s">
        <v>1</v>
      </c>
      <c r="J22" s="5" t="s">
        <v>525</v>
      </c>
      <c r="K22" s="5" t="s">
        <v>1</v>
      </c>
      <c r="L22" s="5" t="s">
        <v>1</v>
      </c>
      <c r="M22" s="5" t="s">
        <v>1</v>
      </c>
      <c r="N22" s="5" t="s">
        <v>1</v>
      </c>
      <c r="O22" s="5" t="s">
        <v>1</v>
      </c>
      <c r="P22" s="5" t="s">
        <v>1</v>
      </c>
      <c r="Q22" s="5" t="s">
        <v>1</v>
      </c>
      <c r="R22" s="5" t="s">
        <v>1</v>
      </c>
      <c r="S22" s="5" t="s">
        <v>1</v>
      </c>
      <c r="T22" s="5" t="s">
        <v>1</v>
      </c>
    </row>
    <row r="23" ht="36" customHeight="1" spans="1:20" x14ac:dyDescent="0.25">
      <c r="A23" s="8" t="s">
        <v>546</v>
      </c>
      <c r="B23" s="6" t="s">
        <v>1</v>
      </c>
      <c r="C23" s="6" t="s">
        <v>1</v>
      </c>
      <c r="D23" s="6" t="s">
        <v>1</v>
      </c>
      <c r="E23" s="6" t="s">
        <v>1</v>
      </c>
      <c r="F23" s="6" t="s">
        <v>1</v>
      </c>
      <c r="G23" s="6" t="s">
        <v>1</v>
      </c>
      <c r="H23" s="6" t="s">
        <v>1</v>
      </c>
      <c r="I23" s="6" t="s">
        <v>1</v>
      </c>
      <c r="J23" s="6" t="s">
        <v>525</v>
      </c>
      <c r="K23" s="6" t="s">
        <v>1</v>
      </c>
      <c r="L23" s="6" t="s">
        <v>1</v>
      </c>
      <c r="M23" s="6" t="s">
        <v>1</v>
      </c>
      <c r="N23" s="6" t="s">
        <v>1</v>
      </c>
      <c r="O23" s="6" t="s">
        <v>1</v>
      </c>
      <c r="P23" s="6" t="s">
        <v>1</v>
      </c>
      <c r="Q23" s="6" t="s">
        <v>1</v>
      </c>
      <c r="R23" s="6" t="s">
        <v>1</v>
      </c>
      <c r="S23" s="6" t="s">
        <v>1</v>
      </c>
      <c r="T23" s="6" t="s">
        <v>1</v>
      </c>
    </row>
    <row r="24" ht="36" customHeight="1" spans="1:20" x14ac:dyDescent="0.25">
      <c r="A24" s="8" t="s">
        <v>547</v>
      </c>
      <c r="B24" s="5" t="s">
        <v>1</v>
      </c>
      <c r="C24" s="5" t="s">
        <v>1</v>
      </c>
      <c r="D24" s="5" t="s">
        <v>1</v>
      </c>
      <c r="E24" s="5" t="s">
        <v>1</v>
      </c>
      <c r="F24" s="5" t="s">
        <v>1</v>
      </c>
      <c r="G24" s="5" t="s">
        <v>1</v>
      </c>
      <c r="H24" s="5" t="s">
        <v>1</v>
      </c>
      <c r="I24" s="5" t="s">
        <v>1</v>
      </c>
      <c r="J24" s="5" t="s">
        <v>525</v>
      </c>
      <c r="K24" s="5" t="s">
        <v>1</v>
      </c>
      <c r="L24" s="5" t="s">
        <v>1</v>
      </c>
      <c r="M24" s="5" t="s">
        <v>1</v>
      </c>
      <c r="N24" s="5" t="s">
        <v>1</v>
      </c>
      <c r="O24" s="5" t="s">
        <v>1</v>
      </c>
      <c r="P24" s="5" t="s">
        <v>1</v>
      </c>
      <c r="Q24" s="5" t="s">
        <v>1</v>
      </c>
      <c r="R24" s="5" t="s">
        <v>1</v>
      </c>
      <c r="S24" s="5" t="s">
        <v>1</v>
      </c>
      <c r="T24" s="5" t="s">
        <v>1</v>
      </c>
    </row>
    <row r="25" ht="36" customHeight="1" spans="1:20" x14ac:dyDescent="0.25">
      <c r="A25" s="8" t="s">
        <v>548</v>
      </c>
      <c r="B25" s="6" t="s">
        <v>1</v>
      </c>
      <c r="C25" s="6" t="s">
        <v>1</v>
      </c>
      <c r="D25" s="6" t="s">
        <v>1</v>
      </c>
      <c r="E25" s="6" t="s">
        <v>1</v>
      </c>
      <c r="F25" s="6" t="s">
        <v>1</v>
      </c>
      <c r="G25" s="6" t="s">
        <v>1</v>
      </c>
      <c r="H25" s="6" t="s">
        <v>1</v>
      </c>
      <c r="I25" s="6" t="s">
        <v>1</v>
      </c>
      <c r="J25" s="6" t="s">
        <v>525</v>
      </c>
      <c r="K25" s="6" t="s">
        <v>1</v>
      </c>
      <c r="L25" s="6" t="s">
        <v>1</v>
      </c>
      <c r="M25" s="6" t="s">
        <v>1</v>
      </c>
      <c r="N25" s="6" t="s">
        <v>1</v>
      </c>
      <c r="O25" s="6" t="s">
        <v>1</v>
      </c>
      <c r="P25" s="6" t="s">
        <v>1</v>
      </c>
      <c r="Q25" s="6" t="s">
        <v>1</v>
      </c>
      <c r="R25" s="6" t="s">
        <v>1</v>
      </c>
      <c r="S25" s="6" t="s">
        <v>1</v>
      </c>
      <c r="T25" s="6" t="s">
        <v>1</v>
      </c>
    </row>
    <row r="26" ht="36" customHeight="1" spans="1:20" x14ac:dyDescent="0.25">
      <c r="A26" s="8" t="s">
        <v>549</v>
      </c>
      <c r="B26" s="5" t="s">
        <v>1</v>
      </c>
      <c r="C26" s="5" t="s">
        <v>1</v>
      </c>
      <c r="D26" s="5" t="s">
        <v>1</v>
      </c>
      <c r="E26" s="5" t="s">
        <v>1</v>
      </c>
      <c r="F26" s="5" t="s">
        <v>1</v>
      </c>
      <c r="G26" s="5" t="s">
        <v>1</v>
      </c>
      <c r="H26" s="5" t="s">
        <v>1</v>
      </c>
      <c r="I26" s="5" t="s">
        <v>1</v>
      </c>
      <c r="J26" s="5" t="s">
        <v>525</v>
      </c>
      <c r="K26" s="5" t="s">
        <v>1</v>
      </c>
      <c r="L26" s="5" t="s">
        <v>1</v>
      </c>
      <c r="M26" s="5" t="s">
        <v>1</v>
      </c>
      <c r="N26" s="5" t="s">
        <v>1</v>
      </c>
      <c r="O26" s="5" t="s">
        <v>1</v>
      </c>
      <c r="P26" s="5" t="s">
        <v>1</v>
      </c>
      <c r="Q26" s="5" t="s">
        <v>1</v>
      </c>
      <c r="R26" s="5" t="s">
        <v>1</v>
      </c>
      <c r="S26" s="5" t="s">
        <v>1</v>
      </c>
      <c r="T26" s="5" t="s">
        <v>1</v>
      </c>
    </row>
    <row r="27" ht="36" customHeight="1" spans="1:20" x14ac:dyDescent="0.25">
      <c r="A27" s="8" t="s">
        <v>550</v>
      </c>
      <c r="B27" s="6" t="s">
        <v>1</v>
      </c>
      <c r="C27" s="6" t="s">
        <v>1</v>
      </c>
      <c r="D27" s="6" t="s">
        <v>1</v>
      </c>
      <c r="E27" s="6" t="s">
        <v>1</v>
      </c>
      <c r="F27" s="6" t="s">
        <v>1</v>
      </c>
      <c r="G27" s="6" t="s">
        <v>1</v>
      </c>
      <c r="H27" s="6" t="s">
        <v>1</v>
      </c>
      <c r="I27" s="6" t="s">
        <v>1</v>
      </c>
      <c r="J27" s="6" t="s">
        <v>525</v>
      </c>
      <c r="K27" s="6" t="s">
        <v>1</v>
      </c>
      <c r="L27" s="6" t="s">
        <v>1</v>
      </c>
      <c r="M27" s="6" t="s">
        <v>1</v>
      </c>
      <c r="N27" s="6" t="s">
        <v>1</v>
      </c>
      <c r="O27" s="6" t="s">
        <v>1</v>
      </c>
      <c r="P27" s="6" t="s">
        <v>1</v>
      </c>
      <c r="Q27" s="6" t="s">
        <v>1</v>
      </c>
      <c r="R27" s="6" t="s">
        <v>1</v>
      </c>
      <c r="S27" s="6" t="s">
        <v>1</v>
      </c>
      <c r="T27" s="6" t="s">
        <v>1</v>
      </c>
    </row>
    <row r="28" ht="36" customHeight="1" spans="1:20" x14ac:dyDescent="0.25">
      <c r="A28" s="8" t="s">
        <v>551</v>
      </c>
      <c r="B28" s="5" t="s">
        <v>1</v>
      </c>
      <c r="C28" s="5" t="s">
        <v>1</v>
      </c>
      <c r="D28" s="5" t="s">
        <v>1</v>
      </c>
      <c r="E28" s="5" t="s">
        <v>1</v>
      </c>
      <c r="F28" s="5" t="s">
        <v>1</v>
      </c>
      <c r="G28" s="5" t="s">
        <v>1</v>
      </c>
      <c r="H28" s="5" t="s">
        <v>1</v>
      </c>
      <c r="I28" s="5" t="s">
        <v>1</v>
      </c>
      <c r="J28" s="5" t="s">
        <v>525</v>
      </c>
      <c r="K28" s="5" t="s">
        <v>1</v>
      </c>
      <c r="L28" s="5" t="s">
        <v>1</v>
      </c>
      <c r="M28" s="5" t="s">
        <v>1</v>
      </c>
      <c r="N28" s="5" t="s">
        <v>1</v>
      </c>
      <c r="O28" s="5" t="s">
        <v>1</v>
      </c>
      <c r="P28" s="5" t="s">
        <v>1</v>
      </c>
      <c r="Q28" s="5" t="s">
        <v>1</v>
      </c>
      <c r="R28" s="5" t="s">
        <v>1</v>
      </c>
      <c r="S28" s="5" t="s">
        <v>1</v>
      </c>
      <c r="T28" s="5" t="s">
        <v>1</v>
      </c>
    </row>
    <row r="29" ht="36" customHeight="1" spans="1:20" x14ac:dyDescent="0.25">
      <c r="A29" s="8" t="s">
        <v>552</v>
      </c>
      <c r="B29" s="6" t="s">
        <v>1</v>
      </c>
      <c r="C29" s="6" t="s">
        <v>1</v>
      </c>
      <c r="D29" s="6" t="s">
        <v>1</v>
      </c>
      <c r="E29" s="6" t="s">
        <v>1</v>
      </c>
      <c r="F29" s="6" t="s">
        <v>1</v>
      </c>
      <c r="G29" s="6" t="s">
        <v>1</v>
      </c>
      <c r="H29" s="6" t="s">
        <v>1</v>
      </c>
      <c r="I29" s="6" t="s">
        <v>1</v>
      </c>
      <c r="J29" s="6" t="s">
        <v>525</v>
      </c>
      <c r="K29" s="6" t="s">
        <v>1</v>
      </c>
      <c r="L29" s="6" t="s">
        <v>1</v>
      </c>
      <c r="M29" s="6" t="s">
        <v>1</v>
      </c>
      <c r="N29" s="6" t="s">
        <v>1</v>
      </c>
      <c r="O29" s="6" t="s">
        <v>1</v>
      </c>
      <c r="P29" s="6" t="s">
        <v>1</v>
      </c>
      <c r="Q29" s="6" t="s">
        <v>1</v>
      </c>
      <c r="R29" s="6" t="s">
        <v>1</v>
      </c>
      <c r="S29" s="6" t="s">
        <v>1</v>
      </c>
      <c r="T29" s="6" t="s">
        <v>1</v>
      </c>
    </row>
    <row r="30" ht="36" customHeight="1" spans="1:20" x14ac:dyDescent="0.25">
      <c r="A30" s="8" t="s">
        <v>553</v>
      </c>
      <c r="B30" s="5" t="s">
        <v>1</v>
      </c>
      <c r="C30" s="5" t="s">
        <v>1</v>
      </c>
      <c r="D30" s="5" t="s">
        <v>1</v>
      </c>
      <c r="E30" s="5" t="s">
        <v>1</v>
      </c>
      <c r="F30" s="5" t="s">
        <v>1</v>
      </c>
      <c r="G30" s="5" t="s">
        <v>1</v>
      </c>
      <c r="H30" s="5" t="s">
        <v>1</v>
      </c>
      <c r="I30" s="5" t="s">
        <v>1</v>
      </c>
      <c r="J30" s="5" t="s">
        <v>525</v>
      </c>
      <c r="K30" s="5" t="s">
        <v>1</v>
      </c>
      <c r="L30" s="5" t="s">
        <v>1</v>
      </c>
      <c r="M30" s="5" t="s">
        <v>1</v>
      </c>
      <c r="N30" s="5" t="s">
        <v>1</v>
      </c>
      <c r="O30" s="5" t="s">
        <v>1</v>
      </c>
      <c r="P30" s="5" t="s">
        <v>1</v>
      </c>
      <c r="Q30" s="5" t="s">
        <v>1</v>
      </c>
      <c r="R30" s="5" t="s">
        <v>1</v>
      </c>
      <c r="S30" s="5" t="s">
        <v>1</v>
      </c>
      <c r="T30" s="5" t="s">
        <v>1</v>
      </c>
    </row>
    <row r="31" ht="36" customHeight="1" spans="1:20" x14ac:dyDescent="0.25">
      <c r="A31" s="8" t="s">
        <v>554</v>
      </c>
      <c r="B31" s="6" t="s">
        <v>1</v>
      </c>
      <c r="C31" s="6" t="s">
        <v>1</v>
      </c>
      <c r="D31" s="6" t="s">
        <v>1</v>
      </c>
      <c r="E31" s="6" t="s">
        <v>1</v>
      </c>
      <c r="F31" s="6" t="s">
        <v>1</v>
      </c>
      <c r="G31" s="6" t="s">
        <v>1</v>
      </c>
      <c r="H31" s="6" t="s">
        <v>1</v>
      </c>
      <c r="I31" s="6" t="s">
        <v>1</v>
      </c>
      <c r="J31" s="6" t="s">
        <v>525</v>
      </c>
      <c r="K31" s="6" t="s">
        <v>1</v>
      </c>
      <c r="L31" s="6" t="s">
        <v>1</v>
      </c>
      <c r="M31" s="6" t="s">
        <v>1</v>
      </c>
      <c r="N31" s="6" t="s">
        <v>1</v>
      </c>
      <c r="O31" s="6" t="s">
        <v>1</v>
      </c>
      <c r="P31" s="6" t="s">
        <v>1</v>
      </c>
      <c r="Q31" s="6" t="s">
        <v>1</v>
      </c>
      <c r="R31" s="6" t="s">
        <v>1</v>
      </c>
      <c r="S31" s="6" t="s">
        <v>1</v>
      </c>
      <c r="T31" s="6" t="s">
        <v>1</v>
      </c>
    </row>
    <row r="32" ht="36" customHeight="1" spans="1:20" x14ac:dyDescent="0.25">
      <c r="A32" s="8" t="s">
        <v>555</v>
      </c>
      <c r="B32" s="5" t="s">
        <v>1</v>
      </c>
      <c r="C32" s="5" t="s">
        <v>1</v>
      </c>
      <c r="D32" s="5" t="s">
        <v>1</v>
      </c>
      <c r="E32" s="5" t="s">
        <v>1</v>
      </c>
      <c r="F32" s="5" t="s">
        <v>1</v>
      </c>
      <c r="G32" s="5" t="s">
        <v>1</v>
      </c>
      <c r="H32" s="5" t="s">
        <v>1</v>
      </c>
      <c r="I32" s="5" t="s">
        <v>1</v>
      </c>
      <c r="J32" s="5" t="s">
        <v>525</v>
      </c>
      <c r="K32" s="5" t="s">
        <v>1</v>
      </c>
      <c r="L32" s="5" t="s">
        <v>1</v>
      </c>
      <c r="M32" s="5" t="s">
        <v>1</v>
      </c>
      <c r="N32" s="5" t="s">
        <v>1</v>
      </c>
      <c r="O32" s="5" t="s">
        <v>1</v>
      </c>
      <c r="P32" s="5" t="s">
        <v>1</v>
      </c>
      <c r="Q32" s="5" t="s">
        <v>1</v>
      </c>
      <c r="R32" s="5" t="s">
        <v>1</v>
      </c>
      <c r="S32" s="5" t="s">
        <v>1</v>
      </c>
      <c r="T32" s="5" t="s">
        <v>1</v>
      </c>
    </row>
    <row r="33" ht="36" customHeight="1" spans="1:20" x14ac:dyDescent="0.25">
      <c r="A33" s="8" t="s">
        <v>556</v>
      </c>
      <c r="B33" s="6" t="s">
        <v>1</v>
      </c>
      <c r="C33" s="6" t="s">
        <v>1</v>
      </c>
      <c r="D33" s="6" t="s">
        <v>1</v>
      </c>
      <c r="E33" s="6" t="s">
        <v>1</v>
      </c>
      <c r="F33" s="6" t="s">
        <v>1</v>
      </c>
      <c r="G33" s="6" t="s">
        <v>1</v>
      </c>
      <c r="H33" s="6" t="s">
        <v>1</v>
      </c>
      <c r="I33" s="6" t="s">
        <v>1</v>
      </c>
      <c r="J33" s="6" t="s">
        <v>525</v>
      </c>
      <c r="K33" s="6" t="s">
        <v>1</v>
      </c>
      <c r="L33" s="6" t="s">
        <v>1</v>
      </c>
      <c r="M33" s="6" t="s">
        <v>1</v>
      </c>
      <c r="N33" s="6" t="s">
        <v>1</v>
      </c>
      <c r="O33" s="6" t="s">
        <v>1</v>
      </c>
      <c r="P33" s="6" t="s">
        <v>1</v>
      </c>
      <c r="Q33" s="6" t="s">
        <v>1</v>
      </c>
      <c r="R33" s="6" t="s">
        <v>1</v>
      </c>
      <c r="S33" s="6" t="s">
        <v>1</v>
      </c>
      <c r="T33" s="6" t="s">
        <v>1</v>
      </c>
    </row>
    <row r="34" ht="36" customHeight="1" spans="1:20" x14ac:dyDescent="0.25">
      <c r="A34" s="8" t="s">
        <v>557</v>
      </c>
      <c r="B34" s="5" t="s">
        <v>1</v>
      </c>
      <c r="C34" s="5" t="s">
        <v>1</v>
      </c>
      <c r="D34" s="5" t="s">
        <v>1</v>
      </c>
      <c r="E34" s="5" t="s">
        <v>1</v>
      </c>
      <c r="F34" s="5" t="s">
        <v>1</v>
      </c>
      <c r="G34" s="5" t="s">
        <v>1</v>
      </c>
      <c r="H34" s="5" t="s">
        <v>1</v>
      </c>
      <c r="I34" s="5" t="s">
        <v>1</v>
      </c>
      <c r="J34" s="5" t="s">
        <v>525</v>
      </c>
      <c r="K34" s="5" t="s">
        <v>1</v>
      </c>
      <c r="L34" s="5" t="s">
        <v>1</v>
      </c>
      <c r="M34" s="5" t="s">
        <v>1</v>
      </c>
      <c r="N34" s="5" t="s">
        <v>1</v>
      </c>
      <c r="O34" s="5" t="s">
        <v>1</v>
      </c>
      <c r="P34" s="5" t="s">
        <v>1</v>
      </c>
      <c r="Q34" s="5" t="s">
        <v>1</v>
      </c>
      <c r="R34" s="5" t="s">
        <v>1</v>
      </c>
      <c r="S34" s="5" t="s">
        <v>1</v>
      </c>
      <c r="T34" s="5" t="s">
        <v>1</v>
      </c>
    </row>
    <row r="35" ht="36" customHeight="1" spans="1:20" x14ac:dyDescent="0.25">
      <c r="A35" s="8" t="s">
        <v>558</v>
      </c>
      <c r="B35" s="6" t="s">
        <v>1</v>
      </c>
      <c r="C35" s="6" t="s">
        <v>1</v>
      </c>
      <c r="D35" s="6" t="s">
        <v>1</v>
      </c>
      <c r="E35" s="6" t="s">
        <v>1</v>
      </c>
      <c r="F35" s="6" t="s">
        <v>1</v>
      </c>
      <c r="G35" s="6" t="s">
        <v>1</v>
      </c>
      <c r="H35" s="6" t="s">
        <v>1</v>
      </c>
      <c r="I35" s="6" t="s">
        <v>1</v>
      </c>
      <c r="J35" s="6" t="s">
        <v>525</v>
      </c>
      <c r="K35" s="6" t="s">
        <v>1</v>
      </c>
      <c r="L35" s="6" t="s">
        <v>1</v>
      </c>
      <c r="M35" s="6" t="s">
        <v>1</v>
      </c>
      <c r="N35" s="6" t="s">
        <v>1</v>
      </c>
      <c r="O35" s="6" t="s">
        <v>1</v>
      </c>
      <c r="P35" s="6" t="s">
        <v>1</v>
      </c>
      <c r="Q35" s="6" t="s">
        <v>1</v>
      </c>
      <c r="R35" s="6" t="s">
        <v>1</v>
      </c>
      <c r="S35" s="6" t="s">
        <v>1</v>
      </c>
      <c r="T35" s="6" t="s">
        <v>1</v>
      </c>
    </row>
    <row r="36" ht="36" customHeight="1" spans="1:20" x14ac:dyDescent="0.25">
      <c r="A36" s="8" t="s">
        <v>559</v>
      </c>
      <c r="B36" s="5" t="s">
        <v>1</v>
      </c>
      <c r="C36" s="5" t="s">
        <v>1</v>
      </c>
      <c r="D36" s="5" t="s">
        <v>1</v>
      </c>
      <c r="E36" s="5" t="s">
        <v>1</v>
      </c>
      <c r="F36" s="5" t="s">
        <v>1</v>
      </c>
      <c r="G36" s="5" t="s">
        <v>1</v>
      </c>
      <c r="H36" s="5" t="s">
        <v>1</v>
      </c>
      <c r="I36" s="5" t="s">
        <v>1</v>
      </c>
      <c r="J36" s="5" t="s">
        <v>525</v>
      </c>
      <c r="K36" s="5" t="s">
        <v>1</v>
      </c>
      <c r="L36" s="5" t="s">
        <v>1</v>
      </c>
      <c r="M36" s="5" t="s">
        <v>1</v>
      </c>
      <c r="N36" s="5" t="s">
        <v>1</v>
      </c>
      <c r="O36" s="5" t="s">
        <v>1</v>
      </c>
      <c r="P36" s="5" t="s">
        <v>1</v>
      </c>
      <c r="Q36" s="5" t="s">
        <v>1</v>
      </c>
      <c r="R36" s="5" t="s">
        <v>1</v>
      </c>
      <c r="S36" s="5" t="s">
        <v>1</v>
      </c>
      <c r="T36" s="5" t="s">
        <v>1</v>
      </c>
    </row>
    <row r="37" ht="36" customHeight="1" spans="1:20" x14ac:dyDescent="0.25">
      <c r="A37" s="8" t="s">
        <v>560</v>
      </c>
      <c r="B37" s="6" t="s">
        <v>1</v>
      </c>
      <c r="C37" s="6" t="s">
        <v>1</v>
      </c>
      <c r="D37" s="6" t="s">
        <v>1</v>
      </c>
      <c r="E37" s="6" t="s">
        <v>1</v>
      </c>
      <c r="F37" s="6" t="s">
        <v>1</v>
      </c>
      <c r="G37" s="6" t="s">
        <v>1</v>
      </c>
      <c r="H37" s="6" t="s">
        <v>1</v>
      </c>
      <c r="I37" s="6" t="s">
        <v>1</v>
      </c>
      <c r="J37" s="6" t="s">
        <v>525</v>
      </c>
      <c r="K37" s="6" t="s">
        <v>1</v>
      </c>
      <c r="L37" s="6" t="s">
        <v>1</v>
      </c>
      <c r="M37" s="6" t="s">
        <v>1</v>
      </c>
      <c r="N37" s="6" t="s">
        <v>1</v>
      </c>
      <c r="O37" s="6" t="s">
        <v>1</v>
      </c>
      <c r="P37" s="6" t="s">
        <v>1</v>
      </c>
      <c r="Q37" s="6" t="s">
        <v>1</v>
      </c>
      <c r="R37" s="6" t="s">
        <v>1</v>
      </c>
      <c r="S37" s="6" t="s">
        <v>1</v>
      </c>
      <c r="T37" s="6" t="s">
        <v>1</v>
      </c>
    </row>
    <row r="38" ht="36" customHeight="1" spans="1:20" x14ac:dyDescent="0.25">
      <c r="A38" s="8" t="s">
        <v>561</v>
      </c>
      <c r="B38" s="5" t="s">
        <v>1</v>
      </c>
      <c r="C38" s="5" t="s">
        <v>1</v>
      </c>
      <c r="D38" s="5" t="s">
        <v>1</v>
      </c>
      <c r="E38" s="5" t="s">
        <v>1</v>
      </c>
      <c r="F38" s="5" t="s">
        <v>1</v>
      </c>
      <c r="G38" s="5" t="s">
        <v>1</v>
      </c>
      <c r="H38" s="5" t="s">
        <v>1</v>
      </c>
      <c r="I38" s="5" t="s">
        <v>1</v>
      </c>
      <c r="J38" s="5" t="s">
        <v>525</v>
      </c>
      <c r="K38" s="5" t="s">
        <v>1</v>
      </c>
      <c r="L38" s="5" t="s">
        <v>1</v>
      </c>
      <c r="M38" s="5" t="s">
        <v>1</v>
      </c>
      <c r="N38" s="5" t="s">
        <v>1</v>
      </c>
      <c r="O38" s="5" t="s">
        <v>1</v>
      </c>
      <c r="P38" s="5" t="s">
        <v>1</v>
      </c>
      <c r="Q38" s="5" t="s">
        <v>1</v>
      </c>
      <c r="R38" s="5" t="s">
        <v>1</v>
      </c>
      <c r="S38" s="5" t="s">
        <v>1</v>
      </c>
      <c r="T38" s="5" t="s">
        <v>1</v>
      </c>
    </row>
    <row r="39" ht="36" customHeight="1" spans="1:20" x14ac:dyDescent="0.25">
      <c r="A39" s="8" t="s">
        <v>562</v>
      </c>
      <c r="B39" s="6" t="s">
        <v>1</v>
      </c>
      <c r="C39" s="6" t="s">
        <v>1</v>
      </c>
      <c r="D39" s="6" t="s">
        <v>1</v>
      </c>
      <c r="E39" s="6" t="s">
        <v>1</v>
      </c>
      <c r="F39" s="6" t="s">
        <v>1</v>
      </c>
      <c r="G39" s="6" t="s">
        <v>1</v>
      </c>
      <c r="H39" s="6" t="s">
        <v>1</v>
      </c>
      <c r="I39" s="6" t="s">
        <v>1</v>
      </c>
      <c r="J39" s="6" t="s">
        <v>525</v>
      </c>
      <c r="K39" s="6" t="s">
        <v>1</v>
      </c>
      <c r="L39" s="6" t="s">
        <v>1</v>
      </c>
      <c r="M39" s="6" t="s">
        <v>1</v>
      </c>
      <c r="N39" s="6" t="s">
        <v>1</v>
      </c>
      <c r="O39" s="6" t="s">
        <v>1</v>
      </c>
      <c r="P39" s="6" t="s">
        <v>1</v>
      </c>
      <c r="Q39" s="6" t="s">
        <v>1</v>
      </c>
      <c r="R39" s="6" t="s">
        <v>1</v>
      </c>
      <c r="S39" s="6" t="s">
        <v>1</v>
      </c>
      <c r="T39" s="6" t="s">
        <v>1</v>
      </c>
    </row>
    <row r="40" ht="36" customHeight="1" spans="1:20" x14ac:dyDescent="0.25">
      <c r="A40" s="8" t="s">
        <v>563</v>
      </c>
      <c r="B40" s="5" t="s">
        <v>1</v>
      </c>
      <c r="C40" s="5" t="s">
        <v>1</v>
      </c>
      <c r="D40" s="5" t="s">
        <v>1</v>
      </c>
      <c r="E40" s="5" t="s">
        <v>1</v>
      </c>
      <c r="F40" s="5" t="s">
        <v>1</v>
      </c>
      <c r="G40" s="5" t="s">
        <v>1</v>
      </c>
      <c r="H40" s="5" t="s">
        <v>1</v>
      </c>
      <c r="I40" s="5" t="s">
        <v>1</v>
      </c>
      <c r="J40" s="5" t="s">
        <v>525</v>
      </c>
      <c r="K40" s="5" t="s">
        <v>1</v>
      </c>
      <c r="L40" s="5" t="s">
        <v>1</v>
      </c>
      <c r="M40" s="5" t="s">
        <v>1</v>
      </c>
      <c r="N40" s="5" t="s">
        <v>1</v>
      </c>
      <c r="O40" s="5" t="s">
        <v>1</v>
      </c>
      <c r="P40" s="5" t="s">
        <v>1</v>
      </c>
      <c r="Q40" s="5" t="s">
        <v>1</v>
      </c>
      <c r="R40" s="5" t="s">
        <v>1</v>
      </c>
      <c r="S40" s="5" t="s">
        <v>1</v>
      </c>
      <c r="T40" s="5" t="s">
        <v>1</v>
      </c>
    </row>
    <row r="41" ht="36" customHeight="1" spans="1:20" x14ac:dyDescent="0.25">
      <c r="A41" s="8" t="s">
        <v>564</v>
      </c>
      <c r="B41" s="6" t="s">
        <v>1</v>
      </c>
      <c r="C41" s="6" t="s">
        <v>1</v>
      </c>
      <c r="D41" s="6" t="s">
        <v>1</v>
      </c>
      <c r="E41" s="6" t="s">
        <v>1</v>
      </c>
      <c r="F41" s="6" t="s">
        <v>1</v>
      </c>
      <c r="G41" s="6" t="s">
        <v>1</v>
      </c>
      <c r="H41" s="6" t="s">
        <v>1</v>
      </c>
      <c r="I41" s="6" t="s">
        <v>1</v>
      </c>
      <c r="J41" s="6" t="s">
        <v>525</v>
      </c>
      <c r="K41" s="6" t="s">
        <v>1</v>
      </c>
      <c r="L41" s="6" t="s">
        <v>1</v>
      </c>
      <c r="M41" s="6" t="s">
        <v>1</v>
      </c>
      <c r="N41" s="6" t="s">
        <v>1</v>
      </c>
      <c r="O41" s="6" t="s">
        <v>1</v>
      </c>
      <c r="P41" s="6" t="s">
        <v>1</v>
      </c>
      <c r="Q41" s="6" t="s">
        <v>1</v>
      </c>
      <c r="R41" s="6" t="s">
        <v>1</v>
      </c>
      <c r="S41" s="6" t="s">
        <v>1</v>
      </c>
      <c r="T41" s="6" t="s">
        <v>1</v>
      </c>
    </row>
    <row r="42" ht="36" customHeight="1" spans="1:20" x14ac:dyDescent="0.25">
      <c r="A42" s="8" t="s">
        <v>565</v>
      </c>
      <c r="B42" s="5" t="s">
        <v>1</v>
      </c>
      <c r="C42" s="5" t="s">
        <v>1</v>
      </c>
      <c r="D42" s="5" t="s">
        <v>1</v>
      </c>
      <c r="E42" s="5" t="s">
        <v>1</v>
      </c>
      <c r="F42" s="5" t="s">
        <v>1</v>
      </c>
      <c r="G42" s="5" t="s">
        <v>1</v>
      </c>
      <c r="H42" s="5" t="s">
        <v>1</v>
      </c>
      <c r="I42" s="5" t="s">
        <v>1</v>
      </c>
      <c r="J42" s="5" t="s">
        <v>525</v>
      </c>
      <c r="K42" s="5" t="s">
        <v>1</v>
      </c>
      <c r="L42" s="5" t="s">
        <v>1</v>
      </c>
      <c r="M42" s="5" t="s">
        <v>1</v>
      </c>
      <c r="N42" s="5" t="s">
        <v>1</v>
      </c>
      <c r="O42" s="5" t="s">
        <v>1</v>
      </c>
      <c r="P42" s="5" t="s">
        <v>1</v>
      </c>
      <c r="Q42" s="5" t="s">
        <v>1</v>
      </c>
      <c r="R42" s="5" t="s">
        <v>1</v>
      </c>
      <c r="S42" s="5" t="s">
        <v>1</v>
      </c>
      <c r="T42" s="5" t="s">
        <v>1</v>
      </c>
    </row>
    <row r="43" ht="36" customHeight="1" spans="1:20" x14ac:dyDescent="0.25">
      <c r="A43" s="8" t="s">
        <v>566</v>
      </c>
      <c r="B43" s="6" t="s">
        <v>1</v>
      </c>
      <c r="C43" s="6" t="s">
        <v>1</v>
      </c>
      <c r="D43" s="6" t="s">
        <v>1</v>
      </c>
      <c r="E43" s="6" t="s">
        <v>1</v>
      </c>
      <c r="F43" s="6" t="s">
        <v>1</v>
      </c>
      <c r="G43" s="6" t="s">
        <v>1</v>
      </c>
      <c r="H43" s="6" t="s">
        <v>1</v>
      </c>
      <c r="I43" s="6" t="s">
        <v>1</v>
      </c>
      <c r="J43" s="6" t="s">
        <v>525</v>
      </c>
      <c r="K43" s="6" t="s">
        <v>1</v>
      </c>
      <c r="L43" s="6" t="s">
        <v>1</v>
      </c>
      <c r="M43" s="6" t="s">
        <v>1</v>
      </c>
      <c r="N43" s="6" t="s">
        <v>1</v>
      </c>
      <c r="O43" s="6" t="s">
        <v>1</v>
      </c>
      <c r="P43" s="6" t="s">
        <v>1</v>
      </c>
      <c r="Q43" s="6" t="s">
        <v>1</v>
      </c>
      <c r="R43" s="6" t="s">
        <v>1</v>
      </c>
      <c r="S43" s="6" t="s">
        <v>1</v>
      </c>
      <c r="T43" s="6" t="s">
        <v>1</v>
      </c>
    </row>
    <row r="44" ht="36" customHeight="1" spans="1:20" x14ac:dyDescent="0.25">
      <c r="A44" s="8" t="s">
        <v>567</v>
      </c>
      <c r="B44" s="5" t="s">
        <v>1</v>
      </c>
      <c r="C44" s="5" t="s">
        <v>1</v>
      </c>
      <c r="D44" s="5" t="s">
        <v>1</v>
      </c>
      <c r="E44" s="5" t="s">
        <v>1</v>
      </c>
      <c r="F44" s="5" t="s">
        <v>1</v>
      </c>
      <c r="G44" s="5" t="s">
        <v>1</v>
      </c>
      <c r="H44" s="5" t="s">
        <v>1</v>
      </c>
      <c r="I44" s="5" t="s">
        <v>1</v>
      </c>
      <c r="J44" s="5" t="s">
        <v>525</v>
      </c>
      <c r="K44" s="5" t="s">
        <v>1</v>
      </c>
      <c r="L44" s="5" t="s">
        <v>1</v>
      </c>
      <c r="M44" s="5" t="s">
        <v>1</v>
      </c>
      <c r="N44" s="5" t="s">
        <v>1</v>
      </c>
      <c r="O44" s="5" t="s">
        <v>1</v>
      </c>
      <c r="P44" s="5" t="s">
        <v>1</v>
      </c>
      <c r="Q44" s="5" t="s">
        <v>1</v>
      </c>
      <c r="R44" s="5" t="s">
        <v>1</v>
      </c>
      <c r="S44" s="5" t="s">
        <v>1</v>
      </c>
      <c r="T44" s="5" t="s">
        <v>1</v>
      </c>
    </row>
    <row r="45" ht="36" customHeight="1" spans="1:20" x14ac:dyDescent="0.25">
      <c r="A45" s="8" t="s">
        <v>568</v>
      </c>
      <c r="B45" s="6" t="s">
        <v>1</v>
      </c>
      <c r="C45" s="6" t="s">
        <v>1</v>
      </c>
      <c r="D45" s="6" t="s">
        <v>1</v>
      </c>
      <c r="E45" s="6" t="s">
        <v>1</v>
      </c>
      <c r="F45" s="6" t="s">
        <v>1</v>
      </c>
      <c r="G45" s="6" t="s">
        <v>1</v>
      </c>
      <c r="H45" s="6" t="s">
        <v>1</v>
      </c>
      <c r="I45" s="6" t="s">
        <v>1</v>
      </c>
      <c r="J45" s="6" t="s">
        <v>525</v>
      </c>
      <c r="K45" s="6" t="s">
        <v>1</v>
      </c>
      <c r="L45" s="6" t="s">
        <v>1</v>
      </c>
      <c r="M45" s="6" t="s">
        <v>1</v>
      </c>
      <c r="N45" s="6" t="s">
        <v>1</v>
      </c>
      <c r="O45" s="6" t="s">
        <v>1</v>
      </c>
      <c r="P45" s="6" t="s">
        <v>1</v>
      </c>
      <c r="Q45" s="6" t="s">
        <v>1</v>
      </c>
      <c r="R45" s="6" t="s">
        <v>1</v>
      </c>
      <c r="S45" s="6" t="s">
        <v>1</v>
      </c>
      <c r="T45" s="6" t="s">
        <v>1</v>
      </c>
    </row>
    <row r="46" ht="36" customHeight="1" spans="1:20" x14ac:dyDescent="0.25">
      <c r="A46" s="8" t="s">
        <v>569</v>
      </c>
      <c r="B46" s="5" t="s">
        <v>1</v>
      </c>
      <c r="C46" s="5" t="s">
        <v>1</v>
      </c>
      <c r="D46" s="5" t="s">
        <v>1</v>
      </c>
      <c r="E46" s="5" t="s">
        <v>1</v>
      </c>
      <c r="F46" s="5" t="s">
        <v>1</v>
      </c>
      <c r="G46" s="5" t="s">
        <v>1</v>
      </c>
      <c r="H46" s="5" t="s">
        <v>1</v>
      </c>
      <c r="I46" s="5" t="s">
        <v>1</v>
      </c>
      <c r="J46" s="5" t="s">
        <v>525</v>
      </c>
      <c r="K46" s="5" t="s">
        <v>1</v>
      </c>
      <c r="L46" s="5" t="s">
        <v>1</v>
      </c>
      <c r="M46" s="5" t="s">
        <v>1</v>
      </c>
      <c r="N46" s="5" t="s">
        <v>1</v>
      </c>
      <c r="O46" s="5" t="s">
        <v>1</v>
      </c>
      <c r="P46" s="5" t="s">
        <v>1</v>
      </c>
      <c r="Q46" s="5" t="s">
        <v>1</v>
      </c>
      <c r="R46" s="5" t="s">
        <v>1</v>
      </c>
      <c r="S46" s="5" t="s">
        <v>1</v>
      </c>
      <c r="T46" s="5" t="s">
        <v>1</v>
      </c>
    </row>
    <row r="47" ht="36" customHeight="1" spans="1:20" x14ac:dyDescent="0.25">
      <c r="A47" s="8" t="s">
        <v>570</v>
      </c>
      <c r="B47" s="6" t="s">
        <v>1</v>
      </c>
      <c r="C47" s="6" t="s">
        <v>1</v>
      </c>
      <c r="D47" s="6" t="s">
        <v>1</v>
      </c>
      <c r="E47" s="6" t="s">
        <v>1</v>
      </c>
      <c r="F47" s="6" t="s">
        <v>1</v>
      </c>
      <c r="G47" s="6" t="s">
        <v>1</v>
      </c>
      <c r="H47" s="6" t="s">
        <v>1</v>
      </c>
      <c r="I47" s="6" t="s">
        <v>1</v>
      </c>
      <c r="J47" s="6" t="s">
        <v>525</v>
      </c>
      <c r="K47" s="6" t="s">
        <v>1</v>
      </c>
      <c r="L47" s="6" t="s">
        <v>1</v>
      </c>
      <c r="M47" s="6" t="s">
        <v>1</v>
      </c>
      <c r="N47" s="6" t="s">
        <v>1</v>
      </c>
      <c r="O47" s="6" t="s">
        <v>1</v>
      </c>
      <c r="P47" s="6" t="s">
        <v>1</v>
      </c>
      <c r="Q47" s="6" t="s">
        <v>1</v>
      </c>
      <c r="R47" s="6" t="s">
        <v>1</v>
      </c>
      <c r="S47" s="6" t="s">
        <v>1</v>
      </c>
      <c r="T47" s="6" t="s">
        <v>1</v>
      </c>
    </row>
    <row r="48" ht="36" customHeight="1" spans="1:20" x14ac:dyDescent="0.25">
      <c r="A48" s="8" t="s">
        <v>571</v>
      </c>
      <c r="B48" s="5" t="s">
        <v>1</v>
      </c>
      <c r="C48" s="5" t="s">
        <v>1</v>
      </c>
      <c r="D48" s="5" t="s">
        <v>1</v>
      </c>
      <c r="E48" s="5" t="s">
        <v>1</v>
      </c>
      <c r="F48" s="5" t="s">
        <v>1</v>
      </c>
      <c r="G48" s="5" t="s">
        <v>1</v>
      </c>
      <c r="H48" s="5" t="s">
        <v>1</v>
      </c>
      <c r="I48" s="5" t="s">
        <v>1</v>
      </c>
      <c r="J48" s="5" t="s">
        <v>525</v>
      </c>
      <c r="K48" s="5" t="s">
        <v>1</v>
      </c>
      <c r="L48" s="5" t="s">
        <v>1</v>
      </c>
      <c r="M48" s="5" t="s">
        <v>1</v>
      </c>
      <c r="N48" s="5" t="s">
        <v>1</v>
      </c>
      <c r="O48" s="5" t="s">
        <v>1</v>
      </c>
      <c r="P48" s="5" t="s">
        <v>1</v>
      </c>
      <c r="Q48" s="5" t="s">
        <v>1</v>
      </c>
      <c r="R48" s="5" t="s">
        <v>1</v>
      </c>
      <c r="S48" s="5" t="s">
        <v>1</v>
      </c>
      <c r="T48" s="5" t="s">
        <v>1</v>
      </c>
    </row>
    <row r="49" ht="36" customHeight="1" spans="1:20" x14ac:dyDescent="0.25">
      <c r="A49" s="8" t="s">
        <v>572</v>
      </c>
      <c r="B49" s="6" t="s">
        <v>1</v>
      </c>
      <c r="C49" s="6" t="s">
        <v>1</v>
      </c>
      <c r="D49" s="6" t="s">
        <v>1</v>
      </c>
      <c r="E49" s="6" t="s">
        <v>1</v>
      </c>
      <c r="F49" s="6" t="s">
        <v>1</v>
      </c>
      <c r="G49" s="6" t="s">
        <v>1</v>
      </c>
      <c r="H49" s="6" t="s">
        <v>1</v>
      </c>
      <c r="I49" s="6" t="s">
        <v>1</v>
      </c>
      <c r="J49" s="6" t="s">
        <v>525</v>
      </c>
      <c r="K49" s="6" t="s">
        <v>1</v>
      </c>
      <c r="L49" s="6" t="s">
        <v>1</v>
      </c>
      <c r="M49" s="6" t="s">
        <v>1</v>
      </c>
      <c r="N49" s="6" t="s">
        <v>1</v>
      </c>
      <c r="O49" s="6" t="s">
        <v>1</v>
      </c>
      <c r="P49" s="6" t="s">
        <v>1</v>
      </c>
      <c r="Q49" s="6" t="s">
        <v>1</v>
      </c>
      <c r="R49" s="6" t="s">
        <v>1</v>
      </c>
      <c r="S49" s="6" t="s">
        <v>1</v>
      </c>
      <c r="T49" s="6" t="s">
        <v>1</v>
      </c>
    </row>
    <row r="50" ht="36" customHeight="1" spans="1:20" x14ac:dyDescent="0.25">
      <c r="A50" s="8" t="s">
        <v>573</v>
      </c>
      <c r="B50" s="5" t="s">
        <v>1</v>
      </c>
      <c r="C50" s="5" t="s">
        <v>1</v>
      </c>
      <c r="D50" s="5" t="s">
        <v>1</v>
      </c>
      <c r="E50" s="5" t="s">
        <v>1</v>
      </c>
      <c r="F50" s="5" t="s">
        <v>1</v>
      </c>
      <c r="G50" s="5" t="s">
        <v>1</v>
      </c>
      <c r="H50" s="5" t="s">
        <v>1</v>
      </c>
      <c r="I50" s="5" t="s">
        <v>1</v>
      </c>
      <c r="J50" s="5" t="s">
        <v>525</v>
      </c>
      <c r="K50" s="5" t="s">
        <v>1</v>
      </c>
      <c r="L50" s="5" t="s">
        <v>1</v>
      </c>
      <c r="M50" s="5" t="s">
        <v>1</v>
      </c>
      <c r="N50" s="5" t="s">
        <v>1</v>
      </c>
      <c r="O50" s="5" t="s">
        <v>1</v>
      </c>
      <c r="P50" s="5" t="s">
        <v>1</v>
      </c>
      <c r="Q50" s="5" t="s">
        <v>1</v>
      </c>
      <c r="R50" s="5" t="s">
        <v>1</v>
      </c>
      <c r="S50" s="5" t="s">
        <v>1</v>
      </c>
      <c r="T50" s="5" t="s">
        <v>1</v>
      </c>
    </row>
    <row r="51" ht="36" customHeight="1" spans="1:20" x14ac:dyDescent="0.25">
      <c r="A51" s="8" t="s">
        <v>574</v>
      </c>
      <c r="B51" s="6" t="s">
        <v>1</v>
      </c>
      <c r="C51" s="6" t="s">
        <v>1</v>
      </c>
      <c r="D51" s="6" t="s">
        <v>1</v>
      </c>
      <c r="E51" s="6" t="s">
        <v>1</v>
      </c>
      <c r="F51" s="6" t="s">
        <v>1</v>
      </c>
      <c r="G51" s="6" t="s">
        <v>1</v>
      </c>
      <c r="H51" s="6" t="s">
        <v>1</v>
      </c>
      <c r="I51" s="6" t="s">
        <v>1</v>
      </c>
      <c r="J51" s="6" t="s">
        <v>525</v>
      </c>
      <c r="K51" s="6" t="s">
        <v>1</v>
      </c>
      <c r="L51" s="6" t="s">
        <v>1</v>
      </c>
      <c r="M51" s="6" t="s">
        <v>1</v>
      </c>
      <c r="N51" s="6" t="s">
        <v>1</v>
      </c>
      <c r="O51" s="6" t="s">
        <v>1</v>
      </c>
      <c r="P51" s="6" t="s">
        <v>1</v>
      </c>
      <c r="Q51" s="6" t="s">
        <v>1</v>
      </c>
      <c r="R51" s="6" t="s">
        <v>1</v>
      </c>
      <c r="S51" s="6" t="s">
        <v>1</v>
      </c>
      <c r="T51" s="6" t="s">
        <v>1</v>
      </c>
    </row>
  </sheetData>
  <autoFilter ref="A1:T51"/>
  <dataValidations count="4">
    <dataValidation type="list" allowBlank="1" showErrorMessage="1" errorTitle="Invalid value" error="Choose one of: Critical, High, Medium, Low" sqref="I10:I51">
      <formula1>"Critical,High,Medium,Low"</formula1>
    </dataValidation>
    <dataValidation type="list" allowBlank="1" showErrorMessage="1" errorTitle="Invalid value" error="Choose one of: Critical, High, Medium, Low" sqref="I2:I51">
      <formula1>"Critical,High,Medium,Low"</formula1>
    </dataValidation>
    <dataValidation type="list" allowBlank="1" showErrorMessage="1" errorTitle="Invalid value" error="Choose one of: Open, In Progress, Fixed, Ready for Retest, Verified, Closed, Won't Fix" sqref="J10:J51">
      <formula1>"Open,In Progress,Fixed,Ready for Retest,Verified,Closed,Won't Fix"</formula1>
    </dataValidation>
    <dataValidation type="list" allowBlank="1" showErrorMessage="1" errorTitle="Invalid value" error="Choose one of: Open, In Progress, Fixed, Ready for Retest, Verified, Closed, Won't Fix" sqref="J2:J51">
      <formula1>"Open,In Progress,Fixed,Ready for Retest,Verified,Closed,Won't Fix"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/>
  </sheetViews>
  <sheetFormatPr defaultRowHeight="15" outlineLevelRow="0" outlineLevelCol="0" x14ac:dyDescent="55"/>
  <cols>
    <col min="1" max="1" width="28" customWidth="1"/>
    <col min="2" max="2" width="18" customWidth="1"/>
    <col min="3" max="3" width="40" customWidth="1"/>
  </cols>
  <sheetData>
    <row r="1" spans="1:1" x14ac:dyDescent="0.25">
      <c r="A1" s="9" t="s">
        <v>575</v>
      </c>
    </row>
    <row r="3" spans="1:2" x14ac:dyDescent="0.25">
      <c r="A3" s="10" t="s">
        <v>576</v>
      </c>
      <c r="B3" s="5" t="s">
        <v>577</v>
      </c>
    </row>
    <row r="4" spans="1:2" x14ac:dyDescent="0.25">
      <c r="A4" s="10" t="s">
        <v>578</v>
      </c>
      <c r="B4" s="5" t="s">
        <v>579</v>
      </c>
    </row>
    <row r="5" spans="1:2" x14ac:dyDescent="0.25">
      <c r="A5" s="10" t="s">
        <v>580</v>
      </c>
      <c r="B5" s="5">
        <v>116</v>
      </c>
    </row>
    <row r="6" spans="1:2" x14ac:dyDescent="0.25">
      <c r="A6" s="10" t="s">
        <v>581</v>
      </c>
      <c r="B6" s="5" t="s">
        <v>1</v>
      </c>
    </row>
    <row r="7" spans="1:2" x14ac:dyDescent="0.25">
      <c r="A7" s="10" t="s">
        <v>582</v>
      </c>
      <c r="B7" s="5" t="s">
        <v>1</v>
      </c>
    </row>
    <row r="8" spans="1:2" x14ac:dyDescent="0.25">
      <c r="A8" s="10" t="s">
        <v>583</v>
      </c>
      <c r="B8" s="5" t="s">
        <v>1</v>
      </c>
    </row>
    <row r="9" spans="1:2" x14ac:dyDescent="0.25">
      <c r="A9" s="10" t="s">
        <v>584</v>
      </c>
      <c r="B9" s="5" t="s">
        <v>1</v>
      </c>
    </row>
    <row r="10" spans="1:2" x14ac:dyDescent="0.25">
      <c r="A10" s="10" t="s">
        <v>585</v>
      </c>
      <c r="B10" s="5" t="s">
        <v>1</v>
      </c>
    </row>
    <row r="11" spans="1:2" x14ac:dyDescent="0.25">
      <c r="A11" s="10" t="s">
        <v>36</v>
      </c>
      <c r="B11" s="5" t="s">
        <v>1</v>
      </c>
    </row>
    <row r="13" spans="1:1" x14ac:dyDescent="0.25">
      <c r="A13" s="2" t="s">
        <v>586</v>
      </c>
    </row>
    <row r="14" spans="1:2" x14ac:dyDescent="0.25">
      <c r="A14" s="10" t="s">
        <v>587</v>
      </c>
      <c r="B14" s="11">
        <f>COUNTIF('Test Cases'!H2:H117,"Pass")</f>
      </c>
    </row>
    <row r="15" spans="1:2" x14ac:dyDescent="0.25">
      <c r="A15" s="10" t="s">
        <v>588</v>
      </c>
      <c r="B15" s="12">
        <f>COUNTIF('Test Cases'!H2:H117,"Fail")</f>
      </c>
    </row>
    <row r="16" spans="1:2" x14ac:dyDescent="0.25">
      <c r="A16" s="10" t="s">
        <v>360</v>
      </c>
      <c r="B16">
        <f>COUNTIF('Test Cases'!H2:H117,"Blocked")</f>
      </c>
    </row>
    <row r="17" spans="1:2" x14ac:dyDescent="0.25">
      <c r="A17" s="10" t="s">
        <v>44</v>
      </c>
      <c r="B17">
        <f>COUNTIF('Test Cases'!H2:H117,"Not Run")</f>
      </c>
    </row>
    <row r="18" spans="1:2" x14ac:dyDescent="0.25">
      <c r="A18" s="10" t="s">
        <v>589</v>
      </c>
      <c r="B18">
        <f>COUNTIF('Test Cases'!H2:H117,"N/A")</f>
      </c>
    </row>
    <row r="19" spans="1:2" x14ac:dyDescent="0.25">
      <c r="A19" s="10" t="s">
        <v>590</v>
      </c>
      <c r="B19">
        <f>COUNTA('Test Cases'!H2:H117)-COUNTIF('Test Cases'!H2:H117,"Not Run")</f>
      </c>
    </row>
    <row r="20" spans="1:2" x14ac:dyDescent="0.25">
      <c r="A20" s="10" t="s">
        <v>591</v>
      </c>
      <c r="B20">
        <f>IFERROR(COUNTIF('Test Cases'!H2:H117,"Pass")/(COUNTIF('Test Cases'!H2:H117,"Pass")+COUNTIF('Test Cases'!H2:H117,"Fail")+COUNTIF('Test Cases'!H2:H117,"Blocked")),"0%")</f>
      </c>
    </row>
    <row r="22" spans="1:1" x14ac:dyDescent="0.25">
      <c r="A22" s="2" t="s">
        <v>592</v>
      </c>
    </row>
    <row r="23" spans="1:2" x14ac:dyDescent="0.25">
      <c r="A23" s="10" t="s">
        <v>593</v>
      </c>
      <c r="B23">
        <f>COUNTIF('Defect Log'!J:J,"Open")</f>
      </c>
    </row>
    <row r="24" spans="1:2" x14ac:dyDescent="0.25">
      <c r="A24" s="10" t="s">
        <v>594</v>
      </c>
      <c r="B24">
        <f>COUNTIF('Defect Log'!J:J,"In Progress")</f>
      </c>
    </row>
    <row r="25" spans="1:2" x14ac:dyDescent="0.25">
      <c r="A25" s="10" t="s">
        <v>595</v>
      </c>
      <c r="B25">
        <f>COUNTIF('Defect Log'!J:J,"Fixed")+COUNTIF('Defect Log'!J:J,"Ready for Retest")</f>
      </c>
    </row>
    <row r="26" spans="1:2" x14ac:dyDescent="0.25">
      <c r="A26" s="10" t="s">
        <v>596</v>
      </c>
      <c r="B26">
        <f>COUNTIF('Defect Log'!J:J,"Verified")+COUNTIF('Defect Log'!J:J,"Closed")</f>
      </c>
    </row>
    <row r="28" spans="1:1" x14ac:dyDescent="0.25">
      <c r="A28" s="2" t="s">
        <v>597</v>
      </c>
    </row>
    <row r="29" spans="1:2" x14ac:dyDescent="0.25">
      <c r="A29" s="10" t="s">
        <v>598</v>
      </c>
      <c r="B29" s="5" t="s">
        <v>1</v>
      </c>
    </row>
    <row r="30" spans="1:2" x14ac:dyDescent="0.25">
      <c r="A30" s="10" t="s">
        <v>599</v>
      </c>
      <c r="B30" s="5" t="s">
        <v>1</v>
      </c>
    </row>
    <row r="31" spans="1:2" x14ac:dyDescent="0.25">
      <c r="A31" s="10" t="s">
        <v>600</v>
      </c>
      <c r="B31" s="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Test Cases</vt:lpstr>
      <vt:lpstr>Defect Log</vt:lpstr>
      <vt:lpstr>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Taste of Andhra QA</dc:creator>
  <dc:title/>
  <dc:subject/>
  <dc:description/>
  <cp:keywords/>
  <cp:category/>
  <cp:lastModifiedBy>Unknown</cp:lastModifiedBy>
  <dcterms:created xsi:type="dcterms:W3CDTF">2026-07-21T14:57:39Z</dcterms:created>
  <dcterms:modified xsi:type="dcterms:W3CDTF">2026-07-21T14:57:39Z</dcterms:modified>
</cp:coreProperties>
</file>